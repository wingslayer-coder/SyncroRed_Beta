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Benja\Desktop\Syncro_Redcopia\Propuesta_Gerencia\"/>
    </mc:Choice>
  </mc:AlternateContent>
  <bookViews>
    <workbookView xWindow="0" yWindow="0" windowWidth="28770" windowHeight="12105" activeTab="2"/>
  </bookViews>
  <sheets>
    <sheet name="Resumen Ejecutivo" sheetId="1" r:id="rId1"/>
    <sheet name="Comparativa de Opciones" sheetId="2" r:id="rId2"/>
    <sheet name="Calculadora de Ahorro" sheetId="3" r:id="rId3"/>
  </sheets>
  <calcPr calcId="152511"/>
</workbook>
</file>

<file path=xl/calcChain.xml><?xml version="1.0" encoding="utf-8"?>
<calcChain xmlns="http://schemas.openxmlformats.org/spreadsheetml/2006/main">
  <c r="E21" i="3" l="1"/>
  <c r="D21" i="3"/>
  <c r="C21" i="3"/>
  <c r="C12" i="3"/>
  <c r="E19" i="3" s="1"/>
  <c r="E20" i="3" s="1"/>
  <c r="C11" i="3"/>
  <c r="C10" i="3"/>
  <c r="C22" i="3" l="1"/>
  <c r="D22" i="3"/>
  <c r="E22" i="3"/>
  <c r="D30" i="3"/>
  <c r="C14" i="1" s="1"/>
  <c r="D23" i="3"/>
  <c r="C30" i="3"/>
  <c r="C23" i="3"/>
  <c r="C24" i="3" s="1"/>
  <c r="C25" i="3" s="1"/>
  <c r="E30" i="3"/>
  <c r="E23" i="3"/>
  <c r="E24" i="3" s="1"/>
  <c r="E25" i="3" s="1"/>
  <c r="C19" i="3"/>
  <c r="C20" i="3" s="1"/>
  <c r="C11" i="1"/>
  <c r="D19" i="3"/>
  <c r="D20" i="3" s="1"/>
  <c r="D24" i="3" l="1"/>
  <c r="C12" i="1"/>
  <c r="D25" i="3" l="1"/>
  <c r="C13" i="1"/>
</calcChain>
</file>

<file path=xl/comments1.xml><?xml version="1.0" encoding="utf-8"?>
<comments xmlns="http://schemas.openxmlformats.org/spreadsheetml/2006/main">
  <authors>
    <author>Syncro Red</author>
  </authors>
  <commentList>
    <comment ref="C6" authorId="0" shapeId="0">
      <text>
        <r>
          <rPr>
            <sz val="11"/>
            <color theme="1"/>
            <rFont val="Calibri"/>
            <family val="2"/>
            <scheme val="minor"/>
          </rPr>
          <t>Sueldo base mensual maquinista (dato real).</t>
        </r>
      </text>
    </comment>
    <comment ref="C8" authorId="0" shapeId="0">
      <text>
        <r>
          <rPr>
            <sz val="11"/>
            <color theme="1"/>
            <rFont val="Calibri"/>
            <family val="2"/>
            <scheme val="minor"/>
          </rPr>
          <t>Ley 40 horas: 42 h/sem vigente 2026.</t>
        </r>
      </text>
    </comment>
    <comment ref="C12" authorId="0" shapeId="0">
      <text>
        <r>
          <rPr>
            <sz val="11"/>
            <color theme="1"/>
            <rFont val="Calibri"/>
            <family val="2"/>
            <scheme val="minor"/>
          </rPr>
          <t>Promedio porque cada servicio lleva 1 maquinista + 1 ayudante. Fórmula legal chilena con recargo 50%.</t>
        </r>
      </text>
    </comment>
    <comment ref="C16" authorId="0" shapeId="0">
      <text>
        <r>
          <rPr>
            <sz val="11"/>
            <color theme="1"/>
            <rFont val="Calibri"/>
            <family val="2"/>
            <scheme val="minor"/>
          </rPr>
          <t>Rango entregado por la operación: 1.300–1.800 HE/mes a nivel de red.</t>
        </r>
      </text>
    </comment>
    <comment ref="C18" authorId="0" shapeId="0">
      <text>
        <r>
          <rPr>
            <sz val="11"/>
            <color theme="1"/>
            <rFont val="Calibri"/>
            <family val="2"/>
            <scheme val="minor"/>
          </rPr>
          <t>Fracción del incremento evitable que el módulo logra eliminar. Conservador.</t>
        </r>
      </text>
    </comment>
    <comment ref="C28" authorId="0" shapeId="0">
      <text>
        <r>
          <rPr>
            <sz val="11"/>
            <color theme="1"/>
            <rFont val="Calibri"/>
            <family val="2"/>
            <scheme val="minor"/>
          </rPr>
          <t>Precedente: sistema inferior de otra red transado en CLP 7M. Referencia de piso, no un cobro.</t>
        </r>
      </text>
    </comment>
  </commentList>
</comments>
</file>

<file path=xl/sharedStrings.xml><?xml version="1.0" encoding="utf-8"?>
<sst xmlns="http://schemas.openxmlformats.org/spreadsheetml/2006/main" count="95" uniqueCount="94">
  <si>
    <t>SYNCRO RED — RESUMEN EJECUTIVO PARA LA GERENCIA</t>
  </si>
  <si>
    <t>Control de presupuesto de horas extra · Lectura rápida para Gerencia, Jefe de Operaciones, IL y SL</t>
  </si>
  <si>
    <t>EL MENSAJE EN UNA FRASE</t>
  </si>
  <si>
    <t>No es una app de horarios: es una herramienta de control de presupuesto que detiene una fuga proyectada en horas extra, construida por personal de la propia vía, y que se paga sola en semanas.</t>
  </si>
  <si>
    <t>CIFRAS CLAVE (escenario esperado)</t>
  </si>
  <si>
    <t>Valor hora extra de dotación</t>
  </si>
  <si>
    <t>Fuga evitable / año</t>
  </si>
  <si>
    <t>Ahorro anual estimado</t>
  </si>
  <si>
    <t>Payback (referencia CLP 7M)</t>
  </si>
  <si>
    <t>QUÉ PEDIMOS (modelo ganar-ganar)</t>
  </si>
  <si>
    <t>•  Quedar a cargo del sistema (custodia técnica) — la PI es nuestra; la empresa opera bajo licencia de uso interno.</t>
  </si>
  <si>
    <t>•  Compensación monetaria por responsabilidad + resultados + criticidad, autofinanciada con el ahorro.</t>
  </si>
  <si>
    <t>•  Régimen 50/50 durante el desarrollo (50% turno / 50% desarrollo): respaldo operativo total, riesgo cero.</t>
  </si>
  <si>
    <t>•  Reconocimiento de autoría y, a futuro y por mérito, valorar una transición a administración/desarrollo.</t>
  </si>
  <si>
    <t>MATRIZ COMPARATIVA — 3 OPCIONES SOBRE LA MESA</t>
  </si>
  <si>
    <t>Valorización fácil de leer para Gerencia, Jefe de Operaciones, IL y SL</t>
  </si>
  <si>
    <t>Criterio</t>
  </si>
  <si>
    <t>Syncro Red (nosotros)</t>
  </si>
  <si>
    <t>“Tren OS” (réplica TI)</t>
  </si>
  <si>
    <t>Desarrollo externo</t>
  </si>
  <si>
    <t>Estado</t>
  </si>
  <si>
    <t>Ya construido y funcional</t>
  </si>
  <si>
    <t>A replicar / adaptar</t>
  </si>
  <si>
    <t>A iniciar de cero</t>
  </si>
  <si>
    <t>Conocimiento operativo</t>
  </si>
  <si>
    <t>Nativo (personal de vía)</t>
  </si>
  <si>
    <t>Importado de otra red</t>
  </si>
  <si>
    <t>Nulo (levantamiento largo)</t>
  </si>
  <si>
    <t>Control de presupuesto de HE</t>
  </si>
  <si>
    <t>Motor activo</t>
  </si>
  <si>
    <t>No (solo muestra turnos)</t>
  </si>
  <si>
    <t>Solo si se paga aparte</t>
  </si>
  <si>
    <t>Normativa ferroviaria embebida</t>
  </si>
  <si>
    <t>Codificada y validada en terreno</t>
  </si>
  <si>
    <t>Lógica de otra red</t>
  </si>
  <si>
    <t>Requiere levantamiento</t>
  </si>
  <si>
    <t>Costo directo</t>
  </si>
  <si>
    <t>Custodia + compensación (autofinanciada)</t>
  </si>
  <si>
    <t>“Gratis” aparente</t>
  </si>
  <si>
    <t>CLP 25M – 60M</t>
  </si>
  <si>
    <t>Tiempo a producción</t>
  </si>
  <si>
    <t>Semanas (hardening)</t>
  </si>
  <si>
    <t>Meses inciertos</t>
  </si>
  <si>
    <t>6 – 12 meses</t>
  </si>
  <si>
    <t>Adopción del operador</t>
  </si>
  <si>
    <t>Alta (hecho por pares)</t>
  </si>
  <si>
    <t>Baja</t>
  </si>
  <si>
    <t>Incierta</t>
  </si>
  <si>
    <t>Quién sufre el error de asignación</t>
  </si>
  <si>
    <t>Nosotros, en la vía</t>
  </si>
  <si>
    <t>TI, fuera de la línea</t>
  </si>
  <si>
    <t>Proveedor ajeno</t>
  </si>
  <si>
    <t>Mejora continua</t>
  </si>
  <si>
    <t>En horas, desde la operación</t>
  </si>
  <si>
    <t>Cola de TI</t>
  </si>
  <si>
    <t>Por hora, costo externo</t>
  </si>
  <si>
    <t>Impacto financiero anual</t>
  </si>
  <si>
    <t>Ahorro CLP 28M–73M</t>
  </si>
  <si>
    <t>Mantiene/aumenta la fuga</t>
  </si>
  <si>
    <t>Costo + ahorro incierto</t>
  </si>
  <si>
    <t>VALORIZACIÓN</t>
  </si>
  <si>
    <t>Activo entregado + ahorro recurrente</t>
  </si>
  <si>
    <t>Fuga intacta (costo oculto)</t>
  </si>
  <si>
    <t>Mayor desembolso, más lento</t>
  </si>
  <si>
    <t>Conclusión: el “gratis” de TI es el escenario más caro — un clon que muestra turnos pero asigna mal mantiene intacta la fuga de CLP 56M–104M al año.</t>
  </si>
  <si>
    <t>CALCULADORA DE AHORRO — CONTROL DE HORAS EXTRA</t>
  </si>
  <si>
    <t>Syncro Red · Celdas azules = editables por Finanzas · Negras = fórmulas automáticas</t>
  </si>
  <si>
    <t>A. PARÁMETROS DE DOTACIÓN</t>
  </si>
  <si>
    <t>Sueldo mensual — Maquinista</t>
  </si>
  <si>
    <t>Sueldo mensual — Ayudante</t>
  </si>
  <si>
    <t>Jornada legal (horas/semana)</t>
  </si>
  <si>
    <t>Recargo legal hora extra</t>
  </si>
  <si>
    <t>Valor hora extra — Maquinista</t>
  </si>
  <si>
    <t>Valor hora extra — Ayudante</t>
  </si>
  <si>
    <t>Valor HE de DOTACIÓN (promedio maq+ayud)</t>
  </si>
  <si>
    <t>B. ESCENARIOS DE FUGA Y AHORRO</t>
  </si>
  <si>
    <t>Concepto</t>
  </si>
  <si>
    <t>Conservador</t>
  </si>
  <si>
    <t>Esperado</t>
  </si>
  <si>
    <t>Optimista</t>
  </si>
  <si>
    <t>Horas extra base / mes (red completa)</t>
  </si>
  <si>
    <t>% incremento evitable (mala asignación)</t>
  </si>
  <si>
    <t>% de captura del incremento (efic. del sistema)</t>
  </si>
  <si>
    <t>Gasto base HE / mes</t>
  </si>
  <si>
    <t>Gasto base HE / año</t>
  </si>
  <si>
    <t>Incremento evitable (HE / mes)</t>
  </si>
  <si>
    <t>Fuga evitable / mes</t>
  </si>
  <si>
    <t>AHORRO ANUAL (fuga evitable × captura)</t>
  </si>
  <si>
    <t>Ahorro mensual</t>
  </si>
  <si>
    <t>C. REFERENCIAS DE VALOR E INVERSIÓN</t>
  </si>
  <si>
    <t>Validación de mercado (caso Merval)</t>
  </si>
  <si>
    <t>Desarrollo externo equivalente — rango</t>
  </si>
  <si>
    <t>Payback vs fuga evitable (meses) — ref. CLP 7M</t>
  </si>
  <si>
    <t>Lectura: el costo de referencia (CLP 7M) se recupera en menos de ~1,5 meses de fuga evitable.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</si>
</sst>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#,##0\ &quot;CLP&quot;;\(#,##0\)\ &quot;CLP&quot;;&quot;-&quot;"/>
    <numFmt numFmtId="165" formatCode="0.0&quot;x&quot;"/>
    <numFmt numFmtId="166" formatCode="0.0"/>
    <numFmt numFmtId="167" formatCode="0.0\ &quot;meses&quot;"/>
  </numFmts>
  <fonts count="12" x14ac:knownFonts="1">
    <font>
      <sz val="11"/>
      <color theme="1"/>
      <name val="Calibri"/>
      <family val="2"/>
      <scheme val="minor"/>
    </font>
    <font>
      <b/>
      <sz val="18"/>
      <color rgb="FF1E3A5F"/>
      <name val="Arial"/>
    </font>
    <font>
      <i/>
      <sz val="11"/>
      <color rgb="FF555555"/>
      <name val="Arial"/>
    </font>
    <font>
      <b/>
      <sz val="11"/>
      <color rgb="FFFFFFFF"/>
      <name val="Arial"/>
    </font>
    <font>
      <sz val="10"/>
      <name val="Arial"/>
    </font>
    <font>
      <b/>
      <sz val="10"/>
      <color rgb="FF0000FF"/>
      <name val="Arial"/>
    </font>
    <font>
      <b/>
      <sz val="10"/>
      <name val="Arial"/>
    </font>
    <font>
      <b/>
      <sz val="10"/>
      <color rgb="FFB02A2A"/>
      <name val="Arial"/>
    </font>
    <font>
      <b/>
      <sz val="10"/>
      <color rgb="FF1E7B34"/>
      <name val="Arial"/>
    </font>
    <font>
      <b/>
      <sz val="11"/>
      <color rgb="FF1E3A5F"/>
      <name val="Arial"/>
    </font>
    <font>
      <b/>
      <sz val="10"/>
      <color rgb="FF008000"/>
      <name val="Arial"/>
    </font>
    <font>
      <b/>
      <sz val="10"/>
      <color rgb="FF1E3A5F"/>
      <name val="Arial"/>
    </font>
  </fonts>
  <fills count="6">
    <fill>
      <patternFill patternType="none"/>
    </fill>
    <fill>
      <patternFill patternType="gray125"/>
    </fill>
    <fill>
      <patternFill patternType="solid">
        <fgColor rgb="FF1E3A5F"/>
      </patternFill>
    </fill>
    <fill>
      <patternFill patternType="solid">
        <fgColor rgb="FFFFF2B2"/>
      </patternFill>
    </fill>
    <fill>
      <patternFill patternType="solid">
        <fgColor rgb="FFF2F6FA"/>
      </patternFill>
    </fill>
    <fill>
      <patternFill patternType="solid">
        <fgColor rgb="FFD5E8F0"/>
      </patternFill>
    </fill>
  </fills>
  <borders count="2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/>
    <xf numFmtId="0" fontId="0" fillId="2" borderId="0" xfId="0" applyFill="1"/>
    <xf numFmtId="0" fontId="4" fillId="0" borderId="1" xfId="0" applyFont="1" applyBorder="1" applyAlignment="1">
      <alignment horizontal="left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left" vertical="center" wrapText="1"/>
    </xf>
    <xf numFmtId="0" fontId="8" fillId="4" borderId="1" xfId="0" applyFont="1" applyFill="1" applyBorder="1" applyAlignment="1">
      <alignment horizontal="left" vertical="center" wrapText="1"/>
    </xf>
    <xf numFmtId="0" fontId="7" fillId="4" borderId="1" xfId="0" applyFont="1" applyFill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 wrapText="1"/>
    </xf>
    <xf numFmtId="164" fontId="5" fillId="0" borderId="1" xfId="0" applyNumberFormat="1" applyFont="1" applyBorder="1" applyAlignment="1">
      <alignment horizontal="right" vertical="center"/>
    </xf>
    <xf numFmtId="3" fontId="5" fillId="0" borderId="1" xfId="0" applyNumberFormat="1" applyFont="1" applyBorder="1" applyAlignment="1">
      <alignment horizontal="right" vertical="center"/>
    </xf>
    <xf numFmtId="165" fontId="5" fillId="0" borderId="1" xfId="0" applyNumberFormat="1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0" fontId="6" fillId="3" borderId="1" xfId="0" applyFont="1" applyFill="1" applyBorder="1" applyAlignment="1">
      <alignment horizontal="left" vertical="center" wrapText="1"/>
    </xf>
    <xf numFmtId="164" fontId="6" fillId="3" borderId="1" xfId="0" applyNumberFormat="1" applyFont="1" applyFill="1" applyBorder="1" applyAlignment="1">
      <alignment horizontal="right" vertical="center"/>
    </xf>
    <xf numFmtId="9" fontId="5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164" fontId="7" fillId="4" borderId="1" xfId="0" applyNumberFormat="1" applyFont="1" applyFill="1" applyBorder="1" applyAlignment="1">
      <alignment horizontal="right" vertical="center"/>
    </xf>
    <xf numFmtId="0" fontId="6" fillId="5" borderId="1" xfId="0" applyFont="1" applyFill="1" applyBorder="1" applyAlignment="1">
      <alignment horizontal="left" vertical="center" wrapText="1"/>
    </xf>
    <xf numFmtId="164" fontId="8" fillId="5" borderId="1" xfId="0" applyNumberFormat="1" applyFont="1" applyFill="1" applyBorder="1" applyAlignment="1">
      <alignment horizontal="right" vertical="center"/>
    </xf>
    <xf numFmtId="164" fontId="8" fillId="0" borderId="1" xfId="0" applyNumberFormat="1" applyFont="1" applyBorder="1" applyAlignment="1">
      <alignment horizontal="right" vertical="center"/>
    </xf>
    <xf numFmtId="166" fontId="6" fillId="0" borderId="1" xfId="0" applyNumberFormat="1" applyFont="1" applyBorder="1" applyAlignment="1">
      <alignment horizontal="right" vertical="center"/>
    </xf>
    <xf numFmtId="0" fontId="9" fillId="5" borderId="1" xfId="0" applyFont="1" applyFill="1" applyBorder="1" applyAlignment="1">
      <alignment horizontal="left" vertical="center" wrapText="1"/>
    </xf>
    <xf numFmtId="0" fontId="0" fillId="5" borderId="1" xfId="0" applyFill="1" applyBorder="1"/>
    <xf numFmtId="0" fontId="4" fillId="4" borderId="1" xfId="0" applyFont="1" applyFill="1" applyBorder="1" applyAlignment="1">
      <alignment horizontal="left" vertical="center" wrapText="1"/>
    </xf>
    <xf numFmtId="0" fontId="0" fillId="4" borderId="1" xfId="0" applyFill="1" applyBorder="1"/>
    <xf numFmtId="0" fontId="4" fillId="0" borderId="1" xfId="0" applyFont="1" applyBorder="1" applyAlignment="1">
      <alignment horizontal="left" vertical="center" wrapText="1"/>
    </xf>
    <xf numFmtId="0" fontId="0" fillId="0" borderId="1" xfId="0" applyBorder="1"/>
    <xf numFmtId="167" fontId="6" fillId="0" borderId="1" xfId="0" applyNumberFormat="1" applyFont="1" applyBorder="1" applyAlignment="1">
      <alignment horizontal="center" vertical="center" wrapText="1"/>
    </xf>
    <xf numFmtId="164" fontId="10" fillId="0" borderId="1" xfId="0" applyNumberFormat="1" applyFont="1" applyBorder="1" applyAlignment="1">
      <alignment horizontal="center" vertical="center" wrapText="1"/>
    </xf>
    <xf numFmtId="164" fontId="8" fillId="0" borderId="1" xfId="0" applyNumberFormat="1" applyFont="1" applyBorder="1" applyAlignment="1">
      <alignment horizontal="center" vertical="center" wrapText="1"/>
    </xf>
    <xf numFmtId="164" fontId="7" fillId="0" borderId="1" xfId="0" applyNumberFormat="1" applyFont="1" applyBorder="1" applyAlignment="1">
      <alignment horizontal="center" vertical="center" wrapText="1"/>
    </xf>
    <xf numFmtId="0" fontId="11" fillId="5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20"/>
  <sheetViews>
    <sheetView showGridLines="0" workbookViewId="0">
      <selection activeCell="B17" sqref="B17:E17"/>
    </sheetView>
  </sheetViews>
  <sheetFormatPr baseColWidth="10" defaultColWidth="9.140625" defaultRowHeight="15" x14ac:dyDescent="0.25"/>
  <cols>
    <col min="1" max="1" width="3" customWidth="1"/>
    <col min="2" max="2" width="34" customWidth="1"/>
    <col min="3" max="5" width="22" customWidth="1"/>
    <col min="6" max="6" width="3" customWidth="1"/>
  </cols>
  <sheetData>
    <row r="2" spans="2:5" ht="23.25" x14ac:dyDescent="0.35">
      <c r="B2" s="1" t="s">
        <v>0</v>
      </c>
    </row>
    <row r="3" spans="2:5" x14ac:dyDescent="0.25">
      <c r="B3" s="2" t="s">
        <v>1</v>
      </c>
    </row>
    <row r="5" spans="2:5" x14ac:dyDescent="0.25">
      <c r="B5" s="3" t="s">
        <v>2</v>
      </c>
      <c r="C5" s="4"/>
      <c r="D5" s="4"/>
      <c r="E5" s="4"/>
    </row>
    <row r="6" spans="2:5" ht="21.95" customHeight="1" x14ac:dyDescent="0.25">
      <c r="B6" s="28" t="s">
        <v>3</v>
      </c>
      <c r="C6" s="29"/>
      <c r="D6" s="29"/>
      <c r="E6" s="29"/>
    </row>
    <row r="7" spans="2:5" x14ac:dyDescent="0.25">
      <c r="B7" s="29"/>
      <c r="C7" s="29"/>
      <c r="D7" s="29"/>
      <c r="E7" s="29"/>
    </row>
    <row r="8" spans="2:5" x14ac:dyDescent="0.25">
      <c r="B8" s="29"/>
      <c r="C8" s="29"/>
      <c r="D8" s="29"/>
      <c r="E8" s="29"/>
    </row>
    <row r="10" spans="2:5" x14ac:dyDescent="0.25">
      <c r="B10" s="3" t="s">
        <v>4</v>
      </c>
      <c r="C10" s="4"/>
      <c r="D10" s="4"/>
      <c r="E10" s="4"/>
    </row>
    <row r="11" spans="2:5" x14ac:dyDescent="0.25">
      <c r="B11" s="5" t="s">
        <v>5</v>
      </c>
      <c r="C11" s="35">
        <f>'Calculadora de Ahorro'!C12</f>
        <v>11546.111111111111</v>
      </c>
      <c r="D11" s="33"/>
      <c r="E11" s="33"/>
    </row>
    <row r="12" spans="2:5" x14ac:dyDescent="0.25">
      <c r="B12" s="5" t="s">
        <v>6</v>
      </c>
      <c r="C12" s="37">
        <f>'Calculadora de Ahorro'!D23</f>
        <v>75165183.333333343</v>
      </c>
      <c r="D12" s="33"/>
      <c r="E12" s="33"/>
    </row>
    <row r="13" spans="2:5" x14ac:dyDescent="0.25">
      <c r="B13" s="5" t="s">
        <v>7</v>
      </c>
      <c r="C13" s="36">
        <f>'Calculadora de Ahorro'!D24</f>
        <v>45099110.000000007</v>
      </c>
      <c r="D13" s="33"/>
      <c r="E13" s="33"/>
    </row>
    <row r="14" spans="2:5" x14ac:dyDescent="0.25">
      <c r="B14" s="5" t="s">
        <v>8</v>
      </c>
      <c r="C14" s="34">
        <f>'Calculadora de Ahorro'!D30</f>
        <v>1.1175386831358756</v>
      </c>
      <c r="D14" s="33"/>
      <c r="E14" s="33"/>
    </row>
    <row r="16" spans="2:5" x14ac:dyDescent="0.25">
      <c r="B16" s="3" t="s">
        <v>9</v>
      </c>
      <c r="C16" s="4"/>
      <c r="D16" s="4"/>
      <c r="E16" s="4"/>
    </row>
    <row r="17" spans="2:5" ht="30" customHeight="1" x14ac:dyDescent="0.25">
      <c r="B17" s="30" t="s">
        <v>10</v>
      </c>
      <c r="C17" s="31"/>
      <c r="D17" s="31"/>
      <c r="E17" s="31"/>
    </row>
    <row r="18" spans="2:5" ht="30" customHeight="1" x14ac:dyDescent="0.25">
      <c r="B18" s="32" t="s">
        <v>11</v>
      </c>
      <c r="C18" s="33"/>
      <c r="D18" s="33"/>
      <c r="E18" s="33"/>
    </row>
    <row r="19" spans="2:5" ht="30" customHeight="1" x14ac:dyDescent="0.25">
      <c r="B19" s="30" t="s">
        <v>12</v>
      </c>
      <c r="C19" s="31"/>
      <c r="D19" s="31"/>
      <c r="E19" s="31"/>
    </row>
    <row r="20" spans="2:5" ht="30" customHeight="1" x14ac:dyDescent="0.25">
      <c r="B20" s="32" t="s">
        <v>13</v>
      </c>
      <c r="C20" s="33"/>
      <c r="D20" s="33"/>
      <c r="E20" s="33"/>
    </row>
  </sheetData>
  <mergeCells count="9">
    <mergeCell ref="B19:E19"/>
    <mergeCell ref="B20:E20"/>
    <mergeCell ref="C12:E12"/>
    <mergeCell ref="B6:E8"/>
    <mergeCell ref="B17:E17"/>
    <mergeCell ref="B18:E18"/>
    <mergeCell ref="C14:E14"/>
    <mergeCell ref="C11:E11"/>
    <mergeCell ref="C13:E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18"/>
  <sheetViews>
    <sheetView showGridLines="0" workbookViewId="0"/>
  </sheetViews>
  <sheetFormatPr baseColWidth="10" defaultColWidth="9.140625" defaultRowHeight="15" x14ac:dyDescent="0.25"/>
  <cols>
    <col min="1" max="1" width="3" customWidth="1"/>
    <col min="2" max="3" width="30" customWidth="1"/>
    <col min="4" max="4" width="28" customWidth="1"/>
    <col min="5" max="5" width="26" customWidth="1"/>
    <col min="6" max="6" width="3" customWidth="1"/>
  </cols>
  <sheetData>
    <row r="2" spans="2:5" ht="23.25" x14ac:dyDescent="0.35">
      <c r="B2" s="1" t="s">
        <v>14</v>
      </c>
    </row>
    <row r="3" spans="2:5" x14ac:dyDescent="0.25">
      <c r="B3" s="2" t="s">
        <v>15</v>
      </c>
    </row>
    <row r="5" spans="2:5" ht="30" customHeight="1" x14ac:dyDescent="0.25">
      <c r="B5" s="7" t="s">
        <v>16</v>
      </c>
      <c r="C5" s="7" t="s">
        <v>17</v>
      </c>
      <c r="D5" s="7" t="s">
        <v>18</v>
      </c>
      <c r="E5" s="7" t="s">
        <v>19</v>
      </c>
    </row>
    <row r="6" spans="2:5" ht="26.1" customHeight="1" x14ac:dyDescent="0.25">
      <c r="B6" s="8" t="s">
        <v>20</v>
      </c>
      <c r="C6" s="9" t="s">
        <v>21</v>
      </c>
      <c r="D6" s="10" t="s">
        <v>22</v>
      </c>
      <c r="E6" s="6" t="s">
        <v>23</v>
      </c>
    </row>
    <row r="7" spans="2:5" ht="26.1" customHeight="1" x14ac:dyDescent="0.25">
      <c r="B7" s="11" t="s">
        <v>24</v>
      </c>
      <c r="C7" s="12" t="s">
        <v>25</v>
      </c>
      <c r="D7" s="13" t="s">
        <v>26</v>
      </c>
      <c r="E7" s="5" t="s">
        <v>27</v>
      </c>
    </row>
    <row r="8" spans="2:5" ht="26.1" customHeight="1" x14ac:dyDescent="0.25">
      <c r="B8" s="8" t="s">
        <v>28</v>
      </c>
      <c r="C8" s="9" t="s">
        <v>29</v>
      </c>
      <c r="D8" s="10" t="s">
        <v>30</v>
      </c>
      <c r="E8" s="6" t="s">
        <v>31</v>
      </c>
    </row>
    <row r="9" spans="2:5" ht="26.1" customHeight="1" x14ac:dyDescent="0.25">
      <c r="B9" s="11" t="s">
        <v>32</v>
      </c>
      <c r="C9" s="12" t="s">
        <v>33</v>
      </c>
      <c r="D9" s="13" t="s">
        <v>34</v>
      </c>
      <c r="E9" s="5" t="s">
        <v>35</v>
      </c>
    </row>
    <row r="10" spans="2:5" ht="26.1" customHeight="1" x14ac:dyDescent="0.25">
      <c r="B10" s="8" t="s">
        <v>36</v>
      </c>
      <c r="C10" s="9" t="s">
        <v>37</v>
      </c>
      <c r="D10" s="10" t="s">
        <v>38</v>
      </c>
      <c r="E10" s="6" t="s">
        <v>39</v>
      </c>
    </row>
    <row r="11" spans="2:5" ht="26.1" customHeight="1" x14ac:dyDescent="0.25">
      <c r="B11" s="11" t="s">
        <v>40</v>
      </c>
      <c r="C11" s="12" t="s">
        <v>41</v>
      </c>
      <c r="D11" s="13" t="s">
        <v>42</v>
      </c>
      <c r="E11" s="5" t="s">
        <v>43</v>
      </c>
    </row>
    <row r="12" spans="2:5" ht="26.1" customHeight="1" x14ac:dyDescent="0.25">
      <c r="B12" s="8" t="s">
        <v>44</v>
      </c>
      <c r="C12" s="9" t="s">
        <v>45</v>
      </c>
      <c r="D12" s="10" t="s">
        <v>46</v>
      </c>
      <c r="E12" s="6" t="s">
        <v>47</v>
      </c>
    </row>
    <row r="13" spans="2:5" ht="26.1" customHeight="1" x14ac:dyDescent="0.25">
      <c r="B13" s="11" t="s">
        <v>48</v>
      </c>
      <c r="C13" s="12" t="s">
        <v>49</v>
      </c>
      <c r="D13" s="13" t="s">
        <v>50</v>
      </c>
      <c r="E13" s="5" t="s">
        <v>51</v>
      </c>
    </row>
    <row r="14" spans="2:5" ht="26.1" customHeight="1" x14ac:dyDescent="0.25">
      <c r="B14" s="8" t="s">
        <v>52</v>
      </c>
      <c r="C14" s="9" t="s">
        <v>53</v>
      </c>
      <c r="D14" s="10" t="s">
        <v>54</v>
      </c>
      <c r="E14" s="6" t="s">
        <v>55</v>
      </c>
    </row>
    <row r="15" spans="2:5" ht="26.1" customHeight="1" x14ac:dyDescent="0.25">
      <c r="B15" s="11" t="s">
        <v>56</v>
      </c>
      <c r="C15" s="12" t="s">
        <v>57</v>
      </c>
      <c r="D15" s="13" t="s">
        <v>58</v>
      </c>
      <c r="E15" s="5" t="s">
        <v>59</v>
      </c>
    </row>
    <row r="16" spans="2:5" ht="26.1" customHeight="1" x14ac:dyDescent="0.25">
      <c r="B16" s="14" t="s">
        <v>60</v>
      </c>
      <c r="C16" s="14" t="s">
        <v>61</v>
      </c>
      <c r="D16" s="14" t="s">
        <v>62</v>
      </c>
      <c r="E16" s="14" t="s">
        <v>63</v>
      </c>
    </row>
    <row r="18" spans="2:5" ht="36" customHeight="1" x14ac:dyDescent="0.25">
      <c r="B18" s="38" t="s">
        <v>64</v>
      </c>
      <c r="C18" s="29"/>
      <c r="D18" s="29"/>
      <c r="E18" s="29"/>
    </row>
  </sheetData>
  <mergeCells count="1">
    <mergeCell ref="B18:E1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2:F31"/>
  <sheetViews>
    <sheetView showGridLines="0" tabSelected="1" workbookViewId="0">
      <pane xSplit="1" ySplit="5" topLeftCell="B6" activePane="bottomRight" state="frozen"/>
      <selection pane="topRight"/>
      <selection pane="bottomLeft"/>
      <selection pane="bottomRight" activeCell="C6" sqref="C6"/>
    </sheetView>
  </sheetViews>
  <sheetFormatPr baseColWidth="10" defaultColWidth="9.140625" defaultRowHeight="15" x14ac:dyDescent="0.25"/>
  <cols>
    <col min="1" max="1" width="3" customWidth="1"/>
    <col min="2" max="2" width="40" customWidth="1"/>
    <col min="3" max="6" width="16" customWidth="1"/>
    <col min="7" max="7" width="3" customWidth="1"/>
  </cols>
  <sheetData>
    <row r="2" spans="2:6" ht="23.25" x14ac:dyDescent="0.35">
      <c r="B2" s="1" t="s">
        <v>65</v>
      </c>
    </row>
    <row r="3" spans="2:6" x14ac:dyDescent="0.25">
      <c r="B3" s="2" t="s">
        <v>66</v>
      </c>
    </row>
    <row r="5" spans="2:6" x14ac:dyDescent="0.25">
      <c r="B5" s="3" t="s">
        <v>67</v>
      </c>
      <c r="C5" s="4"/>
      <c r="D5" s="4"/>
      <c r="E5" s="4"/>
      <c r="F5" s="4"/>
    </row>
    <row r="6" spans="2:6" x14ac:dyDescent="0.25">
      <c r="B6" s="5" t="s">
        <v>68</v>
      </c>
      <c r="C6" s="15">
        <v>1989000</v>
      </c>
    </row>
    <row r="7" spans="2:6" x14ac:dyDescent="0.25">
      <c r="B7" s="5" t="s">
        <v>69</v>
      </c>
      <c r="C7" s="15">
        <v>980000</v>
      </c>
    </row>
    <row r="8" spans="2:6" x14ac:dyDescent="0.25">
      <c r="B8" s="5" t="s">
        <v>70</v>
      </c>
      <c r="C8" s="16">
        <v>45</v>
      </c>
    </row>
    <row r="9" spans="2:6" x14ac:dyDescent="0.25">
      <c r="B9" s="5" t="s">
        <v>71</v>
      </c>
      <c r="C9" s="17">
        <v>1.5</v>
      </c>
    </row>
    <row r="10" spans="2:6" x14ac:dyDescent="0.25">
      <c r="B10" s="5" t="s">
        <v>72</v>
      </c>
      <c r="C10" s="18">
        <f>C6*(7/(30*C8))*C9</f>
        <v>15470</v>
      </c>
    </row>
    <row r="11" spans="2:6" x14ac:dyDescent="0.25">
      <c r="B11" s="5" t="s">
        <v>73</v>
      </c>
      <c r="C11" s="18">
        <f>C7*(7/(30*C8))*C9</f>
        <v>7622.2222222222226</v>
      </c>
    </row>
    <row r="12" spans="2:6" ht="25.5" x14ac:dyDescent="0.25">
      <c r="B12" s="19" t="s">
        <v>74</v>
      </c>
      <c r="C12" s="20">
        <f>AVERAGE(C10:C11)</f>
        <v>11546.111111111111</v>
      </c>
    </row>
    <row r="14" spans="2:6" x14ac:dyDescent="0.25">
      <c r="B14" s="3" t="s">
        <v>75</v>
      </c>
      <c r="C14" s="4"/>
      <c r="D14" s="4"/>
      <c r="E14" s="4"/>
      <c r="F14" s="4"/>
    </row>
    <row r="15" spans="2:6" x14ac:dyDescent="0.25">
      <c r="B15" s="7" t="s">
        <v>76</v>
      </c>
      <c r="C15" s="7" t="s">
        <v>77</v>
      </c>
      <c r="D15" s="7" t="s">
        <v>78</v>
      </c>
      <c r="E15" s="7" t="s">
        <v>79</v>
      </c>
    </row>
    <row r="16" spans="2:6" x14ac:dyDescent="0.25">
      <c r="B16" s="5" t="s">
        <v>80</v>
      </c>
      <c r="C16" s="16">
        <v>1300</v>
      </c>
      <c r="D16" s="16">
        <v>1550</v>
      </c>
      <c r="E16" s="16">
        <v>1800</v>
      </c>
    </row>
    <row r="17" spans="2:6" x14ac:dyDescent="0.25">
      <c r="B17" s="5" t="s">
        <v>81</v>
      </c>
      <c r="C17" s="21">
        <v>0.3</v>
      </c>
      <c r="D17" s="21">
        <v>0.35</v>
      </c>
      <c r="E17" s="21">
        <v>0.4</v>
      </c>
    </row>
    <row r="18" spans="2:6" ht="25.5" x14ac:dyDescent="0.25">
      <c r="B18" s="5" t="s">
        <v>82</v>
      </c>
      <c r="C18" s="21">
        <v>0.5</v>
      </c>
      <c r="D18" s="21">
        <v>0.6</v>
      </c>
      <c r="E18" s="21">
        <v>0.7</v>
      </c>
    </row>
    <row r="19" spans="2:6" x14ac:dyDescent="0.25">
      <c r="B19" s="5" t="s">
        <v>83</v>
      </c>
      <c r="C19" s="18">
        <f>C16*$C$12</f>
        <v>15009944.444444444</v>
      </c>
      <c r="D19" s="18">
        <f>D16*$C$12</f>
        <v>17896472.222222224</v>
      </c>
      <c r="E19" s="18">
        <f>E16*$C$12</f>
        <v>20783000</v>
      </c>
    </row>
    <row r="20" spans="2:6" x14ac:dyDescent="0.25">
      <c r="B20" s="5" t="s">
        <v>84</v>
      </c>
      <c r="C20" s="18">
        <f>C19*12</f>
        <v>180119333.33333331</v>
      </c>
      <c r="D20" s="18">
        <f>D19*12</f>
        <v>214757666.66666669</v>
      </c>
      <c r="E20" s="18">
        <f>E19*12</f>
        <v>249396000</v>
      </c>
    </row>
    <row r="21" spans="2:6" x14ac:dyDescent="0.25">
      <c r="B21" s="5" t="s">
        <v>85</v>
      </c>
      <c r="C21" s="22">
        <f>C16*C17</f>
        <v>390</v>
      </c>
      <c r="D21" s="22">
        <f>D16*D17</f>
        <v>542.5</v>
      </c>
      <c r="E21" s="22">
        <f>E16*E17</f>
        <v>720</v>
      </c>
    </row>
    <row r="22" spans="2:6" x14ac:dyDescent="0.25">
      <c r="B22" s="8" t="s">
        <v>86</v>
      </c>
      <c r="C22" s="23">
        <f>C21*$C$12</f>
        <v>4502983.333333333</v>
      </c>
      <c r="D22" s="23">
        <f>D21*$C$12</f>
        <v>6263765.277777778</v>
      </c>
      <c r="E22" s="23">
        <f>E21*$C$12</f>
        <v>8313200</v>
      </c>
    </row>
    <row r="23" spans="2:6" x14ac:dyDescent="0.25">
      <c r="B23" s="8" t="s">
        <v>6</v>
      </c>
      <c r="C23" s="23">
        <f>C22*12</f>
        <v>54035800</v>
      </c>
      <c r="D23" s="23">
        <f>D22*12</f>
        <v>75165183.333333343</v>
      </c>
      <c r="E23" s="23">
        <f>E22*12</f>
        <v>99758400</v>
      </c>
    </row>
    <row r="24" spans="2:6" x14ac:dyDescent="0.25">
      <c r="B24" s="24" t="s">
        <v>87</v>
      </c>
      <c r="C24" s="25">
        <f>C23*C18</f>
        <v>27017900</v>
      </c>
      <c r="D24" s="25">
        <f>D23*D18</f>
        <v>45099110.000000007</v>
      </c>
      <c r="E24" s="25">
        <f>E23*E18</f>
        <v>69830880</v>
      </c>
    </row>
    <row r="25" spans="2:6" x14ac:dyDescent="0.25">
      <c r="B25" s="5" t="s">
        <v>88</v>
      </c>
      <c r="C25" s="26">
        <f>C24/12</f>
        <v>2251491.6666666665</v>
      </c>
      <c r="D25" s="26">
        <f>D24/12</f>
        <v>3758259.1666666674</v>
      </c>
      <c r="E25" s="26">
        <f>E24/12</f>
        <v>5819240</v>
      </c>
    </row>
    <row r="27" spans="2:6" x14ac:dyDescent="0.25">
      <c r="B27" s="3" t="s">
        <v>89</v>
      </c>
      <c r="C27" s="4"/>
      <c r="D27" s="4"/>
      <c r="E27" s="4"/>
      <c r="F27" s="4"/>
    </row>
    <row r="28" spans="2:6" x14ac:dyDescent="0.25">
      <c r="B28" s="5" t="s">
        <v>90</v>
      </c>
      <c r="C28" s="15">
        <v>7000000</v>
      </c>
    </row>
    <row r="29" spans="2:6" x14ac:dyDescent="0.25">
      <c r="B29" s="5" t="s">
        <v>91</v>
      </c>
      <c r="C29" s="15">
        <v>25000000</v>
      </c>
      <c r="D29" s="15">
        <v>60000000</v>
      </c>
    </row>
    <row r="30" spans="2:6" ht="25.5" x14ac:dyDescent="0.25">
      <c r="B30" s="11" t="s">
        <v>92</v>
      </c>
      <c r="C30" s="27">
        <f>$C$28/C22</f>
        <v>1.5545249630800322</v>
      </c>
      <c r="D30" s="27">
        <f>$C$28/D22</f>
        <v>1.1175386831358756</v>
      </c>
      <c r="E30" s="27">
        <f>$C$28/E22</f>
        <v>0.84203435500168411</v>
      </c>
    </row>
    <row r="31" spans="2:6" x14ac:dyDescent="0.25">
      <c r="B31" s="2" t="s">
        <v>93</v>
      </c>
    </row>
  </sheetData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Resumen Ejecutivo</vt:lpstr>
      <vt:lpstr>Comparativa de Opciones</vt:lpstr>
      <vt:lpstr>Calculadora de Ahorro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Benja</cp:lastModifiedBy>
  <dcterms:created xsi:type="dcterms:W3CDTF">2026-06-07T22:52:53Z</dcterms:created>
  <dcterms:modified xsi:type="dcterms:W3CDTF">2026-06-07T23:08:46Z</dcterms:modified>
</cp:coreProperties>
</file>