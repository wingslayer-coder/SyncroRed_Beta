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770" windowHeight="12105"/>
  </bookViews>
  <sheets>
    <sheet name="Hoja1" sheetId="1" r:id="rId1"/>
  </sheets>
  <definedNames>
    <definedName name="_xlnm.Print_Area" localSheetId="0">Hoja1!$A$1:$M$48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9" i="1" a="1"/>
  <c r="A9" i="1" l="1"/>
  <c r="A10" i="1" a="1"/>
  <c r="A10" i="1" l="1"/>
  <c r="A11" i="1" a="1"/>
  <c r="A11" i="1" l="1"/>
  <c r="A12" i="1" a="1"/>
  <c r="A12" i="1" l="1"/>
  <c r="A14" i="1" a="1"/>
  <c r="A14" i="1" l="1"/>
  <c r="A18" i="1" a="1"/>
  <c r="A18" i="1" l="1"/>
  <c r="A19" i="1" a="1"/>
  <c r="A19" i="1" l="1"/>
  <c r="A20" i="1" a="1"/>
  <c r="A20" i="1" l="1"/>
  <c r="A21" i="1" a="1"/>
  <c r="A21" i="1" l="1"/>
  <c r="A22" i="1" a="1"/>
  <c r="A22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<sst xmlns="http://schemas.openxmlformats.org/spreadsheetml/2006/main" count="221" uniqueCount="164">
  <si>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</si>
  <si>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</si>
  <si>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</si>
  <si>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</si>
  <si>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</si>
  <si>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</si>
  <si>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</si>
  <si>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</si>
  <si>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</si>
  <si>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 xml:space="preserve">TELÉFONOS  </t>
  </si>
  <si>
    <t>INSPECTOR DE TURNO</t>
  </si>
  <si>
    <t>DESPACHO ELECTRICO</t>
  </si>
  <si>
    <t>EMPRESA</t>
  </si>
  <si>
    <t>VIA</t>
  </si>
  <si>
    <t>TIPO CORTADA</t>
  </si>
  <si>
    <t xml:space="preserve">MESA CFLEX 4 </t>
  </si>
  <si>
    <t>MESA CTC 1</t>
  </si>
  <si>
    <t>MESA CTC 2</t>
  </si>
  <si>
    <t>SAN ROSENDO - HUALQUI</t>
  </si>
  <si>
    <t>HUALQUI - CONCEPCIÓN - TALCAHUANO</t>
  </si>
  <si>
    <t>BIO BIO - CORONEL</t>
  </si>
  <si>
    <t>41 2166760 - 998481086</t>
  </si>
  <si>
    <t>41 2166763</t>
  </si>
  <si>
    <t>41 2166764</t>
  </si>
  <si>
    <t>41 2166762</t>
  </si>
  <si>
    <t>41 2166761</t>
  </si>
  <si>
    <t>41 2166767 - 41 2166768 - 942718148</t>
  </si>
  <si>
    <t>41 2166765</t>
  </si>
  <si>
    <t xml:space="preserve">COORDINADO POR </t>
  </si>
  <si>
    <t xml:space="preserve">MESA CFLEX 2 / AUV2 </t>
  </si>
  <si>
    <t>DESCRIPCIÓN TRABAJOS / EPF / CORTADOR ELECTRICO</t>
  </si>
  <si>
    <t>CT.CON@EFESUR.CL</t>
  </si>
  <si>
    <t>OPERADOR.CONCEPCION@EFESUR.CL</t>
  </si>
  <si>
    <t>CONTROLADOR.SSER@EFESUR.CL</t>
  </si>
  <si>
    <t>DESPACHO.ELECTRICO@EFESUR.CL</t>
  </si>
  <si>
    <t>SD 18-19-21-22-32-37-38-40 Y RQ/NA</t>
  </si>
  <si>
    <t>MESA AUV 1 / MESA CFLEX-3</t>
  </si>
  <si>
    <t>LAJA - TEMUCO Y SD 16 ( MN-VI )</t>
  </si>
  <si>
    <t>SEE REMOTO / AUV</t>
  </si>
  <si>
    <t>QU - UN - TL - GO / SD 15</t>
  </si>
  <si>
    <t>41 2166766 - 41 2166770</t>
  </si>
  <si>
    <t>TÉRMINO</t>
  </si>
  <si>
    <t>VELOCIDAD Y/O RESTRICCIÓN</t>
  </si>
  <si>
    <t>RÉGIMEN A UTILIZAR</t>
  </si>
  <si>
    <t>Autorizado por I.T.</t>
  </si>
  <si>
    <t>Folio</t>
  </si>
  <si>
    <t>Emitido</t>
  </si>
  <si>
    <t>NOTA 1: A PERSONAL DE TRENES DE CARGA Y PASAJEROS:</t>
  </si>
  <si>
    <t xml:space="preserve">CUANDO LOS SISTEMAS DE PROTECCIÓN AUTOMATIZADOS DE PASOS A NIVEL, YA SEA EN CRUCES ENCLAVADOS, PLENA VÍA Y/O AFECTADOS, PRESENTEN ALGÚN TIPO DE FALLA Y/O AVERÍA QUE IMPOSIBILITE CUMPLIR LAS EXIGENCIAS MÍNIMAS DE SEGURIDAD, LA VELOCIDAD DE CIRCULACIÓN DE TODO TIPO DE TREN Y EQUIPOS MENORES, NO DEBE SER SUPERIOR A 15 KM/H.                 </t>
  </si>
  <si>
    <t>NOTA 2: A PERSONAL DE TRACCIÓN, NO DESPLEGAR ESPEJOS RETROVISORES DE UT EN PK 27 ENTRE POSTES 11 AL 19 POR V2 (PATRICIO ARANEDA M.)</t>
  </si>
  <si>
    <t>NOTA 3: A PERSONAL DE TRACCIÓN, NO HACER USO DE LA GRAN ACELERACIÓN CON UT EN L2 AMBAS VIAS (FRANCISCO MATUS)</t>
  </si>
  <si>
    <t>NUEVO PUENTE BIO - BIO</t>
  </si>
  <si>
    <t>TRENES DE PASAJEROS: VELOCIDAD MÁXIMA DE OPERACIÓN 100 KM/HORA</t>
  </si>
  <si>
    <t>TRENES DE CARGA: VELOCIDAD MÁXIMA DE OPERACIÓN 65 KM/HORA</t>
  </si>
  <si>
    <t>ANTIGUO PUENTE FERROVIARIO</t>
  </si>
  <si>
    <t>SE AUTORIZA EL USO DEL PUENTE FERROVIARIO ANTIGUO PK 1/3 AL PK 2/16 SOLAMENTE PARA MÓVILES DE MANTENIMIENTO EN RELACIÓN A TRABAJOS PROYECTO PUENTE (09-07-25 R. DEMETRIO)</t>
  </si>
  <si>
    <t>FRECUENCIAS RADIALES DE COMUNICACIÓN</t>
  </si>
  <si>
    <r>
      <t xml:space="preserve">CTC L1: </t>
    </r>
    <r>
      <rPr>
        <b/>
        <sz val="26"/>
        <rFont val="Calibri"/>
        <family val="2"/>
      </rPr>
      <t>"5 CTC1(HQ-TH)"</t>
    </r>
  </si>
  <si>
    <r>
      <t xml:space="preserve">CTC L2: </t>
    </r>
    <r>
      <rPr>
        <b/>
        <sz val="26"/>
        <rFont val="Calibri"/>
        <family val="2"/>
      </rPr>
      <t>"4 CTC2(CC-CW)"</t>
    </r>
  </si>
  <si>
    <t>USO
TRANSAP</t>
  </si>
  <si>
    <r>
      <t xml:space="preserve">·         </t>
    </r>
    <r>
      <rPr>
        <b/>
        <sz val="11"/>
        <color theme="1"/>
        <rFont val="Calibri"/>
        <family val="2"/>
      </rPr>
      <t>LOC. 3000 O 2800 + CARROS CARGADOS</t>
    </r>
  </si>
  <si>
    <r>
      <t>·     </t>
    </r>
    <r>
      <rPr>
        <b/>
        <sz val="11"/>
        <color theme="1"/>
        <rFont val="Calibri"/>
        <family val="2"/>
      </rPr>
      <t xml:space="preserve">    LOC. 3000 O 2800 + CARRO VACÍO (PFM) + CARROS CARGADOS</t>
    </r>
  </si>
  <si>
    <r>
      <t>·        </t>
    </r>
    <r>
      <rPr>
        <b/>
        <sz val="11"/>
        <color theme="1"/>
        <rFont val="Calibri"/>
        <family val="2"/>
      </rPr>
      <t xml:space="preserve"> LOC. 3000 O 2800 + CARRO VACÍO (EGM) + CARROS CARGADOS</t>
    </r>
  </si>
  <si>
    <r>
      <t xml:space="preserve">·         </t>
    </r>
    <r>
      <rPr>
        <b/>
        <sz val="11"/>
        <rFont val="Calibri"/>
        <family val="2"/>
      </rPr>
      <t>EN MULTIPLE: LOC. 3000 O 2800 + CARRO VACÍO MINIMO 13 MTS + LOC. 2800 O 3000 + CARROS CARGADOS</t>
    </r>
  </si>
  <si>
    <t>USO FEPASA</t>
  </si>
  <si>
    <r>
      <t xml:space="preserve">·         </t>
    </r>
    <r>
      <rPr>
        <b/>
        <sz val="11"/>
        <color theme="1"/>
        <rFont val="Calibri"/>
        <family val="2"/>
      </rPr>
      <t>LOC. 2340 + CARROS CARGADOS</t>
    </r>
  </si>
  <si>
    <r>
      <t xml:space="preserve">·         </t>
    </r>
    <r>
      <rPr>
        <b/>
        <sz val="11"/>
        <color theme="1"/>
        <rFont val="Calibri"/>
        <family val="2"/>
      </rPr>
      <t>EN MULTIPLE: LOC. 5100, 6100, 7100, 1000, 1800 + CARROS CARGADOS</t>
    </r>
  </si>
  <si>
    <t>PATIO DE ARENAL / VÍA 4 ARENAL - MERCADO / TRONCAL DE INDUSTRIAS DERIVADAS</t>
  </si>
  <si>
    <t>VELOCIDAD CONSTANTE DE 20 KM/HR EN TODO EL PATIO DE CARGA</t>
  </si>
  <si>
    <t>POR RENOVACIÓN VÍA PATIO CARGA ESTACIÓN ARENAL (DESCONEXIÓN DURARÁ APP 12 MESES) DEC# 2925 Y 2926, NO RECIBIR Y DESPACHAR MAQUINAS ELECTRICAS A PATIO ESTACION ARENAL RESPECTIVAMENTE.</t>
  </si>
  <si>
    <t>PATIO DE CARGA EZ QUEDA DESENERGIZADO (AISLADO) DE KM 83/6-C (LADO NORTE LINEA A SAN VICENTE) HASTA KM 81/33-A (LADO SUR CC)</t>
  </si>
  <si>
    <t>VÍA 4 ARENAL - MERCADO, 50 KM/HR PARA TRENES DE PASAJEROS</t>
  </si>
  <si>
    <t>TRONCAL INDUSTRIAS DERIVADAS:  VELOCIDAD MÁXIMA DE CIRCULACIÓN DE 20 KM/HR PARA TODO MÓVIL, CON RESTRICCIÓN DE 10 KM/HR EN ZONA DE DESVIADORES ENTRE LOS SIGUIENTES KILÓMETROS:</t>
  </si>
  <si>
    <t>· 10 KM/HR ENTRE EL KM 3,000 AL KM 3,300</t>
  </si>
  <si>
    <t xml:space="preserve">· 10 KM/HR ENTRE EL KM 3,750 AL KM 4,100 </t>
  </si>
  <si>
    <t> ACCESO A DESVIO PUERTO SAN VICENTE VELOCIDAD DE 10 KM/HRS ENTRE EL CAMBIO N°22B (ULTIMO CAMBIO QUE SALE DEL PATIO TALCAHUANO A SAN VICENTE) Y EL CAMBIO N°-29, (CAMBIO ESTÁ A 200 MTS LADO NORTE DEL PORTÓN HACIA SAN VICENTE)</t>
  </si>
  <si>
    <t>VELOCIDAD MAXIMA DE TRENES</t>
  </si>
  <si>
    <r>
      <t xml:space="preserve">·         </t>
    </r>
    <r>
      <rPr>
        <b/>
        <sz val="12"/>
        <color rgb="FF000000"/>
        <rFont val="Calibri"/>
        <family val="2"/>
      </rPr>
      <t>VELOCIDAD PUENTE HUALQUI (KM. 46,416) DE ACUERDO A NORMA NS-01-01-00 CLASE B (PASAJEROS 50 KM/HR / CARGA 40 KM/HR)</t>
    </r>
  </si>
  <si>
    <r>
      <t xml:space="preserve">·         </t>
    </r>
    <r>
      <rPr>
        <b/>
        <sz val="12"/>
        <color rgb="FF000000"/>
        <rFont val="Calibri"/>
        <family val="2"/>
      </rPr>
      <t>VELOCIDAD MÁXIMA TRENES DE PASAJEROS : HUALQUI -CONCEPCIÓN -EL ARENAL : 100 KM./HR.</t>
    </r>
  </si>
  <si>
    <r>
      <t xml:space="preserve">·         </t>
    </r>
    <r>
      <rPr>
        <b/>
        <sz val="12"/>
        <color rgb="FF000000"/>
        <rFont val="Calibri"/>
        <family val="2"/>
      </rPr>
      <t>VELOCIDAD MÁXIMA TRENES CARGA : HUALQUI - CONCEPCIÓN - EL ARENAL : 65 KM./HR.</t>
    </r>
  </si>
  <si>
    <t>VELOCIDAD MÁXIMA TRENES PASAJEROS BIO BIO - CORONEL:</t>
  </si>
  <si>
    <t xml:space="preserve">                PK.</t>
  </si>
  <si>
    <t xml:space="preserve"> 0 AL 0 P. 24</t>
  </si>
  <si>
    <t>0 P. 24 A 1,120</t>
  </si>
  <si>
    <t xml:space="preserve">1,120 A 2,950 </t>
  </si>
  <si>
    <t>2,950 A 3 P. 5</t>
  </si>
  <si>
    <t>3 P. 5 A 3 P. 23</t>
  </si>
  <si>
    <t>3 P. 23 A 4 P. 31</t>
  </si>
  <si>
    <t xml:space="preserve"> 4 P. 31 AL 5 P. 17</t>
  </si>
  <si>
    <t xml:space="preserve"> 5 P. 17 AL 11 P. 5</t>
  </si>
  <si>
    <t xml:space="preserve">  11 P. 5 AL 11 P. 27</t>
  </si>
  <si>
    <t xml:space="preserve">  11 P. 27 AL 22 P. 1</t>
  </si>
  <si>
    <t xml:space="preserve">  22 P. 1 AL 27 P. 11</t>
  </si>
  <si>
    <t xml:space="preserve">  27 P. 11 AL 27 P. 23</t>
  </si>
  <si>
    <t xml:space="preserve">  27 P. 23 AL 27 P. 41</t>
  </si>
  <si>
    <t xml:space="preserve">VELOCIDAD MÁXIMA TRENES CARGA BIO BIO - CORONEL:  </t>
  </si>
  <si>
    <t>VIA 1                    VIA 2</t>
  </si>
  <si>
    <t>55                  55</t>
  </si>
  <si>
    <t>100                100</t>
  </si>
  <si>
    <t>60                  60</t>
  </si>
  <si>
    <t>90                  90</t>
  </si>
  <si>
    <t>70                  70</t>
  </si>
  <si>
    <t>30                  30</t>
  </si>
  <si>
    <t>VIA 1           VIA 2</t>
  </si>
  <si>
    <t>OIS BOLETÍN DE VIA C (SECTOR CTC)</t>
  </si>
  <si>
    <t>NOTIFICACION DE FAENAS EN EL INICIO DEL RECORRIDO (HUALQUI A TALCAHUANO)</t>
  </si>
  <si>
    <t>NOTIFICACION DE FAENAS EN EL INICIO DEL RECORRIDO (CONCEPCIÓN A CORONEL)</t>
  </si>
  <si>
    <t xml:space="preserve">   60                         60</t>
  </si>
  <si>
    <t xml:space="preserve">   40                         40</t>
  </si>
  <si>
    <t xml:space="preserve">   20                         20</t>
  </si>
  <si>
    <t xml:space="preserve">                4 P. 1 a 5 P. 17</t>
  </si>
  <si>
    <t xml:space="preserve">                5 P. 17 a 22 P. 11</t>
  </si>
  <si>
    <t xml:space="preserve">                22 P. 11 a 27 P. 1</t>
  </si>
  <si>
    <t xml:space="preserve">                27 P. 1 a 27 P. 41</t>
  </si>
  <si>
    <t>PROGRAMACIÓN DE CORTADAS</t>
  </si>
  <si>
    <t/>
  </si>
  <si>
    <t>EFE (Roberto Egli)</t>
  </si>
  <si>
    <t>30 km/h Y TOQUE PITO</t>
  </si>
  <si>
    <t>TODAS</t>
  </si>
  <si>
    <t>VÍA 1</t>
  </si>
  <si>
    <t>10 km/h</t>
  </si>
  <si>
    <t>CONCEPCIÓN</t>
  </si>
  <si>
    <t>TOQUE PITO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</si>
  <si>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</si>
  <si>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</si>
  <si>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</si>
  <si>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</si>
  <si>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</si>
  <si>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</si>
  <si>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</si>
  <si>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</si>
  <si>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70 P. 15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</si>
  <si>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</si>
  <si>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</si>
  <si>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</si>
  <si>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71 P. 27</t>
  </si>
  <si>
    <t>72 P. 6</t>
  </si>
  <si>
    <t>MANTENIMIENTO DE LUBRICACIÓN Y VERIFICACIÓN DE AGUJAS Y DESRIELADORES (A4) EST. CONCEPCION / JOSE RUIZ (P-5.1) / 956660091</t>
  </si>
  <si>
    <t>GLOBE ICF SA (Ricardo Yáñez)</t>
  </si>
  <si>
    <t>LOMAS COLORADAS</t>
  </si>
  <si>
    <t>ESCUADRÓN</t>
  </si>
  <si>
    <t>LAGUNILLAS</t>
  </si>
  <si>
    <t>VÍA</t>
  </si>
  <si>
    <t>OCUPACIÓN ORDINARIA DE VÍA</t>
  </si>
  <si>
    <t>APLICACIÓN DE QUÍMICO HERBICIDA CON HI RAIL, USO DE VÍA 1 Y 2 SEGÚN DISPONIBILIDAD. / RODRIGO VERGARA (P-5.1) / 962980493 / VENTANA DE TRABAJO SEGÚN DISPONIBILIDAD DE TRÁFICO</t>
  </si>
  <si>
    <t>MARTINUS (Sebastián Padilla)</t>
  </si>
  <si>
    <t>CORONEL</t>
  </si>
  <si>
    <t>ICIL ICAFAL (Marco Osses)</t>
  </si>
  <si>
    <t>15 P. 1</t>
  </si>
  <si>
    <t>11 P. 1</t>
  </si>
  <si>
    <t>15 P. 24</t>
  </si>
  <si>
    <t>(PROYECTO AUMENTO DE CAPACIDAD) CAMBIO DE MÉNSULAS / TENDIDO DE HILO DE CONTACTO DESDE ESCUADRÓN A LOMAS COLORADAS POR V1. / ISAAC FUENTES (P-5.1) / 972293818</t>
  </si>
  <si>
    <t>19 P. 32</t>
  </si>
  <si>
    <t>(PROYECTO AUMENTO DE CAPACIDAD) CAMBIO DE MÉNSULAS / TENDIDO DE HILO DE CONTACTO DESDE ESCUADRÓN A LOMAS COLORADAS POR V1. / VÍCTOR MARTÍNEZ (P-5.1) / 982703584</t>
  </si>
  <si>
    <t>25 P. 1</t>
  </si>
  <si>
    <t>S/E ESCUADRÓN</t>
  </si>
  <si>
    <t>SUBESTACIÓN</t>
  </si>
  <si>
    <t>RETIRO E INSTALACION DE NUEVAS CELDAS DE CORRIENTE CONTINUA N°3 Y N°4 EN SALA ELECTRICA. INSTALACION DE SISTEMA DE CANALIZACION Y CABLEADO ELECTRICO EN MURO EN INTERIOR SALA DE CONTROL. / SE SOLICITA DESCONECTAR BARRA DE 66KV DESDE SECC. 189M ABIERTO CON PUESTA A TIERRA HASTA SECC. TIPO CUERNO 189 AL 1 AL 4 MÁS SECC. 189IG DE 2300V / BORIS CORREA (P-6) / 944701595</t>
  </si>
  <si>
    <t>SIEMENS (Esteban Chambe)</t>
  </si>
  <si>
    <t>0 P. 8</t>
  </si>
  <si>
    <t>27 P. 1</t>
  </si>
  <si>
    <t>EFE SUR (Ricardo Burgos)</t>
  </si>
  <si>
    <t>REVISIÓN DE VÍA DENTRO DE FAJA EFE</t>
  </si>
  <si>
    <t>CARLOS SOTO PINCHEIRA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</si>
</sst>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dd/mm/yy;@"/>
    <numFmt numFmtId="166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9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2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1" fillId="0" borderId="0"/>
  </cellStyleXfs>
  <cellXfs count="240">
    <xf numFmtId="0" fontId="0" fillId="0" borderId="0" xfId="0"/>
    <xf numFmtId="0" fontId="6" fillId="0" borderId="0" xfId="0" applyFont="1"/>
    <xf numFmtId="0" fontId="8" fillId="0" borderId="0" xfId="1" applyFont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64" fontId="10" fillId="0" borderId="0" xfId="1" applyNumberFormat="1" applyFont="1"/>
    <xf numFmtId="14" fontId="8" fillId="3" borderId="1" xfId="1" applyNumberFormat="1" applyFont="1" applyFill="1" applyBorder="1" applyAlignment="1">
      <alignment horizontal="center" vertical="center" wrapText="1"/>
    </xf>
    <xf numFmtId="0" fontId="3" fillId="0" borderId="0" xfId="1" applyFont="1"/>
    <xf numFmtId="0" fontId="4" fillId="0" borderId="0" xfId="1" applyFont="1"/>
    <xf numFmtId="0" fontId="6" fillId="0" borderId="0" xfId="1" applyFont="1"/>
    <xf numFmtId="0" fontId="6" fillId="2" borderId="0" xfId="1" applyFont="1" applyFill="1" applyAlignment="1">
      <alignment wrapText="1"/>
    </xf>
    <xf numFmtId="0" fontId="6" fillId="2" borderId="0" xfId="1" applyFont="1" applyFill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5" xfId="1" applyFont="1" applyBorder="1"/>
    <xf numFmtId="0" fontId="8" fillId="0" borderId="25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49" fontId="20" fillId="0" borderId="0" xfId="1" applyNumberFormat="1" applyFont="1" applyAlignment="1">
      <alignment horizontal="center" vertical="center" wrapText="1"/>
    </xf>
    <xf numFmtId="14" fontId="21" fillId="0" borderId="25" xfId="1" applyNumberFormat="1" applyFont="1" applyBorder="1" applyAlignment="1">
      <alignment horizontal="center" vertical="center" wrapText="1"/>
    </xf>
    <xf numFmtId="49" fontId="9" fillId="0" borderId="0" xfId="1" applyNumberFormat="1" applyFont="1" applyAlignment="1">
      <alignment horizont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9" xfId="1" applyNumberFormat="1" applyFont="1" applyFill="1" applyBorder="1" applyAlignment="1">
      <alignment horizontal="center" vertical="center" wrapText="1"/>
    </xf>
    <xf numFmtId="0" fontId="11" fillId="2" borderId="29" xfId="1" applyFont="1" applyFill="1" applyBorder="1" applyAlignment="1">
      <alignment horizontal="center" vertical="center" wrapText="1"/>
    </xf>
    <xf numFmtId="20" fontId="11" fillId="2" borderId="15" xfId="1" applyNumberFormat="1" applyFont="1" applyFill="1" applyBorder="1" applyAlignment="1">
      <alignment horizontal="center" vertical="center" wrapText="1"/>
    </xf>
    <xf numFmtId="165" fontId="11" fillId="2" borderId="29" xfId="1" applyNumberFormat="1" applyFont="1" applyFill="1" applyBorder="1" applyAlignment="1">
      <alignment horizontal="center" vertical="center"/>
    </xf>
    <xf numFmtId="165" fontId="11" fillId="2" borderId="30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8" xfId="1" applyFont="1" applyFill="1" applyBorder="1" applyAlignment="1">
      <alignment horizontal="center" vertical="center" wrapText="1"/>
    </xf>
    <xf numFmtId="0" fontId="6" fillId="0" borderId="20" xfId="2" applyFont="1" applyBorder="1"/>
    <xf numFmtId="0" fontId="6" fillId="0" borderId="7" xfId="2" applyFont="1" applyBorder="1"/>
    <xf numFmtId="0" fontId="6" fillId="0" borderId="22" xfId="2" applyFont="1" applyBorder="1"/>
    <xf numFmtId="0" fontId="25" fillId="0" borderId="17" xfId="4" applyFont="1" applyBorder="1" applyAlignment="1">
      <alignment horizontal="left"/>
    </xf>
    <xf numFmtId="0" fontId="12" fillId="0" borderId="6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25" fillId="0" borderId="19" xfId="4" applyFont="1" applyBorder="1" applyAlignment="1">
      <alignment horizontal="left"/>
    </xf>
    <xf numFmtId="0" fontId="15" fillId="0" borderId="20" xfId="0" applyFont="1" applyBorder="1" applyAlignment="1">
      <alignment vertical="center"/>
    </xf>
    <xf numFmtId="0" fontId="12" fillId="0" borderId="20" xfId="2" applyFont="1" applyBorder="1" applyAlignment="1">
      <alignment horizontal="center" vertical="center"/>
    </xf>
    <xf numFmtId="0" fontId="25" fillId="0" borderId="41" xfId="4" applyFont="1" applyBorder="1" applyAlignment="1">
      <alignment horizontal="left"/>
    </xf>
    <xf numFmtId="0" fontId="6" fillId="0" borderId="42" xfId="0" applyFont="1" applyBorder="1" applyAlignment="1">
      <alignment horizontal="left" vertical="center"/>
    </xf>
    <xf numFmtId="0" fontId="12" fillId="0" borderId="42" xfId="2" applyFont="1" applyBorder="1" applyAlignment="1">
      <alignment horizontal="center" vertical="center"/>
    </xf>
    <xf numFmtId="0" fontId="12" fillId="0" borderId="43" xfId="2" applyFont="1" applyBorder="1" applyAlignment="1">
      <alignment horizontal="center" vertical="center"/>
    </xf>
    <xf numFmtId="0" fontId="25" fillId="0" borderId="19" xfId="4" applyFont="1" applyBorder="1"/>
    <xf numFmtId="0" fontId="15" fillId="0" borderId="0" xfId="4" applyFont="1" applyAlignment="1">
      <alignment horizontal="center" wrapText="1"/>
    </xf>
    <xf numFmtId="0" fontId="26" fillId="0" borderId="6" xfId="0" applyFont="1" applyBorder="1" applyAlignment="1">
      <alignment vertical="center"/>
    </xf>
    <xf numFmtId="0" fontId="11" fillId="0" borderId="0" xfId="0" applyFont="1" applyAlignment="1">
      <alignment horizontal="left"/>
    </xf>
    <xf numFmtId="0" fontId="11" fillId="0" borderId="20" xfId="0" applyFont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15" fillId="0" borderId="19" xfId="4" applyFont="1" applyBorder="1" applyAlignment="1">
      <alignment wrapText="1"/>
    </xf>
    <xf numFmtId="0" fontId="30" fillId="0" borderId="45" xfId="0" applyFont="1" applyBorder="1" applyAlignment="1">
      <alignment horizontal="left" vertical="center" wrapText="1"/>
    </xf>
    <xf numFmtId="0" fontId="30" fillId="0" borderId="46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left" vertical="center"/>
    </xf>
    <xf numFmtId="0" fontId="32" fillId="0" borderId="47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15" fillId="2" borderId="19" xfId="4" applyFont="1" applyFill="1" applyBorder="1" applyAlignment="1">
      <alignment wrapText="1"/>
    </xf>
    <xf numFmtId="0" fontId="11" fillId="2" borderId="20" xfId="0" applyFont="1" applyFill="1" applyBorder="1" applyAlignment="1">
      <alignment horizontal="left"/>
    </xf>
    <xf numFmtId="0" fontId="27" fillId="0" borderId="43" xfId="0" applyFont="1" applyBorder="1" applyAlignment="1">
      <alignment vertical="center"/>
    </xf>
    <xf numFmtId="0" fontId="2" fillId="5" borderId="48" xfId="1" applyFont="1" applyFill="1" applyBorder="1" applyAlignment="1">
      <alignment vertical="center" wrapText="1"/>
    </xf>
    <xf numFmtId="0" fontId="2" fillId="5" borderId="49" xfId="1" applyFont="1" applyFill="1" applyBorder="1" applyAlignment="1">
      <alignment vertical="center" wrapText="1"/>
    </xf>
    <xf numFmtId="49" fontId="8" fillId="0" borderId="20" xfId="1" applyNumberFormat="1" applyFont="1" applyBorder="1" applyAlignment="1">
      <alignment vertical="center" wrapText="1"/>
    </xf>
    <xf numFmtId="164" fontId="10" fillId="0" borderId="20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12" fillId="0" borderId="56" xfId="1" applyFont="1" applyBorder="1" applyAlignment="1">
      <alignment horizontal="center" vertical="center" wrapText="1"/>
    </xf>
    <xf numFmtId="165" fontId="12" fillId="0" borderId="57" xfId="1" applyNumberFormat="1" applyFont="1" applyBorder="1" applyAlignment="1">
      <alignment horizontal="center" vertical="center" wrapText="1"/>
    </xf>
    <xf numFmtId="0" fontId="25" fillId="2" borderId="19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20" xfId="0" applyFont="1" applyFill="1" applyBorder="1"/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2" fillId="0" borderId="0" xfId="2" applyFont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26" fillId="0" borderId="17" xfId="0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6" fillId="2" borderId="19" xfId="1" applyFont="1" applyFill="1" applyBorder="1"/>
    <xf numFmtId="0" fontId="6" fillId="2" borderId="20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5" xfId="1" applyNumberFormat="1" applyFont="1" applyBorder="1"/>
    <xf numFmtId="166" fontId="8" fillId="0" borderId="25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9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1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6" fontId="11" fillId="2" borderId="0" xfId="0" applyNumberFormat="1" applyFont="1" applyFill="1" applyAlignment="1">
      <alignment horizontal="center"/>
    </xf>
    <xf numFmtId="166" fontId="26" fillId="0" borderId="6" xfId="0" applyNumberFormat="1" applyFont="1" applyBorder="1" applyAlignment="1">
      <alignment vertical="center"/>
    </xf>
    <xf numFmtId="166" fontId="26" fillId="0" borderId="0" xfId="0" applyNumberFormat="1" applyFont="1" applyAlignment="1">
      <alignment horizontal="left" vertical="center"/>
    </xf>
    <xf numFmtId="166" fontId="31" fillId="0" borderId="0" xfId="0" applyNumberFormat="1" applyFont="1" applyAlignment="1">
      <alignment vertical="center"/>
    </xf>
    <xf numFmtId="166" fontId="32" fillId="0" borderId="0" xfId="0" applyNumberFormat="1" applyFont="1" applyAlignment="1">
      <alignment horizontal="left" vertical="center"/>
    </xf>
    <xf numFmtId="166" fontId="32" fillId="2" borderId="0" xfId="0" applyNumberFormat="1" applyFont="1" applyFill="1" applyAlignment="1">
      <alignment horizontal="left" vertical="center"/>
    </xf>
    <xf numFmtId="166" fontId="6" fillId="2" borderId="0" xfId="1" applyNumberFormat="1" applyFont="1" applyFill="1"/>
    <xf numFmtId="166" fontId="6" fillId="0" borderId="0" xfId="0" applyNumberFormat="1" applyFont="1"/>
    <xf numFmtId="20" fontId="12" fillId="12" borderId="2" xfId="1" applyNumberFormat="1" applyFont="1" applyFill="1" applyBorder="1" applyAlignment="1">
      <alignment horizontal="center" vertical="center" wrapText="1"/>
    </xf>
    <xf numFmtId="0" fontId="16" fillId="9" borderId="41" xfId="1" applyFont="1" applyFill="1" applyBorder="1" applyAlignment="1">
      <alignment vertical="center" wrapText="1"/>
    </xf>
    <xf numFmtId="0" fontId="16" fillId="9" borderId="42" xfId="1" applyFont="1" applyFill="1" applyBorder="1" applyAlignment="1">
      <alignment vertical="center" wrapText="1"/>
    </xf>
    <xf numFmtId="0" fontId="16" fillId="9" borderId="43" xfId="1" applyFont="1" applyFill="1" applyBorder="1" applyAlignment="1">
      <alignment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16" fillId="9" borderId="42" xfId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166" fontId="8" fillId="3" borderId="13" xfId="1" applyNumberFormat="1" applyFont="1" applyFill="1" applyBorder="1" applyAlignment="1">
      <alignment horizontal="center" vertical="center" wrapText="1"/>
    </xf>
    <xf numFmtId="0" fontId="9" fillId="0" borderId="53" xfId="1" applyFont="1" applyBorder="1" applyAlignment="1">
      <alignment horizontal="center"/>
    </xf>
    <xf numFmtId="0" fontId="9" fillId="0" borderId="26" xfId="1" applyFont="1" applyBorder="1" applyAlignment="1">
      <alignment horizontal="center"/>
    </xf>
    <xf numFmtId="0" fontId="20" fillId="0" borderId="37" xfId="1" applyFont="1" applyBorder="1" applyAlignment="1">
      <alignment horizontal="center"/>
    </xf>
    <xf numFmtId="0" fontId="20" fillId="0" borderId="27" xfId="1" applyFont="1" applyBorder="1" applyAlignment="1">
      <alignment horizontal="center"/>
    </xf>
    <xf numFmtId="14" fontId="33" fillId="0" borderId="2" xfId="1" applyNumberFormat="1" applyFont="1" applyBorder="1" applyAlignment="1">
      <alignment horizontal="center" vertical="center"/>
    </xf>
    <xf numFmtId="164" fontId="5" fillId="5" borderId="49" xfId="1" applyNumberFormat="1" applyFont="1" applyFill="1" applyBorder="1" applyAlignment="1">
      <alignment horizontal="center" vertical="center"/>
    </xf>
    <xf numFmtId="164" fontId="5" fillId="5" borderId="50" xfId="1" applyNumberFormat="1" applyFont="1" applyFill="1" applyBorder="1" applyAlignment="1">
      <alignment horizontal="center" vertical="center"/>
    </xf>
    <xf numFmtId="0" fontId="20" fillId="0" borderId="51" xfId="1" applyFont="1" applyBorder="1" applyAlignment="1">
      <alignment horizontal="center" vertical="center"/>
    </xf>
    <xf numFmtId="0" fontId="20" fillId="0" borderId="25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52" xfId="1" applyFont="1" applyBorder="1" applyAlignment="1">
      <alignment horizontal="center" vertical="center" wrapText="1"/>
    </xf>
    <xf numFmtId="0" fontId="22" fillId="5" borderId="49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20" fillId="0" borderId="53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/>
    </xf>
    <xf numFmtId="0" fontId="14" fillId="0" borderId="17" xfId="4" applyFont="1" applyBorder="1" applyAlignment="1">
      <alignment horizontal="center" vertical="center" textRotation="90" wrapText="1"/>
    </xf>
    <xf numFmtId="0" fontId="14" fillId="0" borderId="21" xfId="4" applyFont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/>
    </xf>
    <xf numFmtId="0" fontId="8" fillId="3" borderId="54" xfId="1" applyFont="1" applyFill="1" applyBorder="1" applyAlignment="1">
      <alignment horizontal="center" vertical="center" wrapText="1"/>
    </xf>
    <xf numFmtId="0" fontId="8" fillId="3" borderId="55" xfId="1" applyFont="1" applyFill="1" applyBorder="1" applyAlignment="1">
      <alignment horizontal="center" vertical="center" wrapText="1"/>
    </xf>
    <xf numFmtId="0" fontId="17" fillId="11" borderId="37" xfId="2" applyFont="1" applyFill="1" applyBorder="1" applyAlignment="1">
      <alignment horizontal="center" vertical="center" wrapText="1"/>
    </xf>
    <xf numFmtId="0" fontId="17" fillId="11" borderId="29" xfId="2" applyFont="1" applyFill="1" applyBorder="1" applyAlignment="1">
      <alignment horizontal="center" vertical="center" wrapText="1"/>
    </xf>
    <xf numFmtId="0" fontId="17" fillId="11" borderId="30" xfId="2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165" fontId="8" fillId="3" borderId="36" xfId="1" applyNumberFormat="1" applyFont="1" applyFill="1" applyBorder="1" applyAlignment="1">
      <alignment horizontal="center" vertical="center" wrapText="1"/>
    </xf>
    <xf numFmtId="165" fontId="8" fillId="3" borderId="34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58" xfId="1" applyFont="1" applyFill="1" applyBorder="1" applyAlignment="1">
      <alignment horizontal="center" vertical="center" wrapText="1"/>
    </xf>
    <xf numFmtId="0" fontId="8" fillId="3" borderId="59" xfId="1" applyFont="1" applyFill="1" applyBorder="1" applyAlignment="1">
      <alignment horizontal="center" vertical="center" wrapText="1"/>
    </xf>
    <xf numFmtId="0" fontId="17" fillId="8" borderId="33" xfId="2" applyFont="1" applyFill="1" applyBorder="1" applyAlignment="1">
      <alignment horizontal="center" vertical="center"/>
    </xf>
    <xf numFmtId="0" fontId="17" fillId="8" borderId="1" xfId="2" applyFont="1" applyFill="1" applyBorder="1" applyAlignment="1">
      <alignment horizontal="center" vertical="center"/>
    </xf>
    <xf numFmtId="0" fontId="17" fillId="8" borderId="34" xfId="2" applyFont="1" applyFill="1" applyBorder="1" applyAlignment="1">
      <alignment horizontal="center" vertical="center"/>
    </xf>
    <xf numFmtId="0" fontId="17" fillId="8" borderId="35" xfId="2" applyFont="1" applyFill="1" applyBorder="1" applyAlignment="1">
      <alignment horizontal="center" vertical="center"/>
    </xf>
    <xf numFmtId="0" fontId="17" fillId="8" borderId="5" xfId="2" applyFont="1" applyFill="1" applyBorder="1" applyAlignment="1">
      <alignment horizontal="center" vertical="center"/>
    </xf>
    <xf numFmtId="0" fontId="17" fillId="8" borderId="36" xfId="2" applyFont="1" applyFill="1" applyBorder="1" applyAlignment="1">
      <alignment horizontal="center" vertical="center"/>
    </xf>
    <xf numFmtId="0" fontId="17" fillId="8" borderId="31" xfId="2" applyFont="1" applyFill="1" applyBorder="1" applyAlignment="1">
      <alignment horizontal="center" vertical="center"/>
    </xf>
    <xf numFmtId="0" fontId="17" fillId="8" borderId="16" xfId="2" applyFont="1" applyFill="1" applyBorder="1" applyAlignment="1">
      <alignment horizontal="center" vertical="center"/>
    </xf>
    <xf numFmtId="0" fontId="17" fillId="8" borderId="32" xfId="2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66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8" fillId="6" borderId="19" xfId="1" applyFont="1" applyFill="1" applyBorder="1" applyAlignment="1">
      <alignment horizontal="center" vertical="center" wrapText="1"/>
    </xf>
    <xf numFmtId="0" fontId="18" fillId="6" borderId="0" xfId="1" applyFont="1" applyFill="1" applyAlignment="1">
      <alignment horizontal="center" vertical="center" wrapText="1"/>
    </xf>
    <xf numFmtId="0" fontId="18" fillId="6" borderId="20" xfId="1" applyFont="1" applyFill="1" applyBorder="1" applyAlignment="1">
      <alignment horizontal="center" vertical="center" wrapText="1"/>
    </xf>
    <xf numFmtId="0" fontId="17" fillId="6" borderId="21" xfId="1" applyFont="1" applyFill="1" applyBorder="1" applyAlignment="1">
      <alignment horizontal="center" vertical="center" wrapText="1"/>
    </xf>
    <xf numFmtId="0" fontId="17" fillId="6" borderId="7" xfId="1" applyFont="1" applyFill="1" applyBorder="1" applyAlignment="1">
      <alignment horizontal="center" vertical="center" wrapText="1"/>
    </xf>
    <xf numFmtId="0" fontId="17" fillId="6" borderId="22" xfId="1" applyFont="1" applyFill="1" applyBorder="1" applyAlignment="1">
      <alignment horizontal="center" vertical="center" wrapText="1"/>
    </xf>
    <xf numFmtId="0" fontId="18" fillId="4" borderId="17" xfId="1" applyFont="1" applyFill="1" applyBorder="1" applyAlignment="1">
      <alignment horizontal="center" vertical="center" wrapText="1"/>
    </xf>
    <xf numFmtId="0" fontId="18" fillId="4" borderId="6" xfId="1" applyFont="1" applyFill="1" applyBorder="1" applyAlignment="1">
      <alignment horizontal="center" vertical="center" wrapText="1"/>
    </xf>
    <xf numFmtId="0" fontId="18" fillId="4" borderId="18" xfId="1" applyFont="1" applyFill="1" applyBorder="1" applyAlignment="1">
      <alignment horizontal="center" vertical="center" wrapText="1"/>
    </xf>
    <xf numFmtId="0" fontId="18" fillId="4" borderId="19" xfId="1" applyFont="1" applyFill="1" applyBorder="1" applyAlignment="1">
      <alignment horizontal="center" vertical="center" wrapText="1"/>
    </xf>
    <xf numFmtId="0" fontId="18" fillId="4" borderId="0" xfId="1" applyFont="1" applyFill="1" applyAlignment="1">
      <alignment horizontal="center" vertical="center" wrapText="1"/>
    </xf>
    <xf numFmtId="0" fontId="18" fillId="4" borderId="20" xfId="1" applyFont="1" applyFill="1" applyBorder="1" applyAlignment="1">
      <alignment horizontal="center" vertical="center" wrapText="1"/>
    </xf>
    <xf numFmtId="0" fontId="18" fillId="10" borderId="17" xfId="1" applyFont="1" applyFill="1" applyBorder="1" applyAlignment="1">
      <alignment horizontal="center" vertical="center" wrapText="1"/>
    </xf>
    <xf numFmtId="0" fontId="18" fillId="10" borderId="6" xfId="1" applyFont="1" applyFill="1" applyBorder="1" applyAlignment="1">
      <alignment horizontal="center" vertical="center" wrapText="1"/>
    </xf>
    <xf numFmtId="0" fontId="18" fillId="10" borderId="18" xfId="1" applyFont="1" applyFill="1" applyBorder="1" applyAlignment="1">
      <alignment horizontal="center" vertical="center" wrapText="1"/>
    </xf>
    <xf numFmtId="0" fontId="18" fillId="10" borderId="19" xfId="1" applyFont="1" applyFill="1" applyBorder="1" applyAlignment="1">
      <alignment horizontal="center" vertical="center" wrapText="1"/>
    </xf>
    <xf numFmtId="0" fontId="18" fillId="10" borderId="0" xfId="1" applyFont="1" applyFill="1" applyAlignment="1">
      <alignment horizontal="center" vertical="center" wrapText="1"/>
    </xf>
    <xf numFmtId="0" fontId="18" fillId="10" borderId="20" xfId="1" applyFont="1" applyFill="1" applyBorder="1" applyAlignment="1">
      <alignment horizontal="center" vertical="center" wrapText="1"/>
    </xf>
    <xf numFmtId="0" fontId="17" fillId="4" borderId="51" xfId="2" applyFont="1" applyFill="1" applyBorder="1" applyAlignment="1">
      <alignment horizontal="center" vertical="center" wrapText="1"/>
    </xf>
    <xf numFmtId="0" fontId="17" fillId="4" borderId="25" xfId="2" applyFont="1" applyFill="1" applyBorder="1" applyAlignment="1">
      <alignment horizontal="center" vertical="center" wrapText="1"/>
    </xf>
    <xf numFmtId="0" fontId="17" fillId="4" borderId="38" xfId="2" applyFont="1" applyFill="1" applyBorder="1" applyAlignment="1">
      <alignment horizontal="center" vertical="center" wrapText="1"/>
    </xf>
    <xf numFmtId="0" fontId="17" fillId="4" borderId="60" xfId="2" applyFont="1" applyFill="1" applyBorder="1" applyAlignment="1">
      <alignment horizontal="center" vertical="center" wrapText="1"/>
    </xf>
    <xf numFmtId="0" fontId="17" fillId="4" borderId="39" xfId="2" applyFont="1" applyFill="1" applyBorder="1" applyAlignment="1">
      <alignment horizontal="center" vertical="center" wrapText="1"/>
    </xf>
    <xf numFmtId="0" fontId="17" fillId="4" borderId="40" xfId="2" applyFont="1" applyFill="1" applyBorder="1" applyAlignment="1">
      <alignment horizontal="center" vertical="center" wrapText="1"/>
    </xf>
    <xf numFmtId="0" fontId="17" fillId="4" borderId="52" xfId="2" applyFont="1" applyFill="1" applyBorder="1" applyAlignment="1">
      <alignment horizontal="center" vertical="center" wrapText="1"/>
    </xf>
    <xf numFmtId="0" fontId="17" fillId="4" borderId="23" xfId="2" applyFont="1" applyFill="1" applyBorder="1" applyAlignment="1">
      <alignment horizontal="center" vertical="center" wrapText="1"/>
    </xf>
    <xf numFmtId="0" fontId="17" fillId="4" borderId="24" xfId="2" applyFont="1" applyFill="1" applyBorder="1" applyAlignment="1">
      <alignment horizontal="center" vertical="center" wrapText="1"/>
    </xf>
    <xf numFmtId="0" fontId="17" fillId="4" borderId="61" xfId="2" applyFont="1" applyFill="1" applyBorder="1" applyAlignment="1">
      <alignment horizontal="center" vertical="center" wrapText="1"/>
    </xf>
    <xf numFmtId="0" fontId="17" fillId="11" borderId="31" xfId="2" applyFont="1" applyFill="1" applyBorder="1" applyAlignment="1">
      <alignment horizontal="center" vertical="center"/>
    </xf>
    <xf numFmtId="0" fontId="17" fillId="11" borderId="16" xfId="2" applyFont="1" applyFill="1" applyBorder="1" applyAlignment="1">
      <alignment horizontal="center" vertical="center"/>
    </xf>
    <xf numFmtId="0" fontId="17" fillId="11" borderId="32" xfId="2" applyFont="1" applyFill="1" applyBorder="1" applyAlignment="1">
      <alignment horizontal="center" vertical="center"/>
    </xf>
    <xf numFmtId="0" fontId="14" fillId="0" borderId="19" xfId="4" applyFont="1" applyBorder="1" applyAlignment="1">
      <alignment horizontal="center" vertical="center" textRotation="90" wrapText="1"/>
    </xf>
    <xf numFmtId="0" fontId="14" fillId="0" borderId="19" xfId="4" applyFont="1" applyBorder="1" applyAlignment="1">
      <alignment horizontal="center" vertical="center" textRotation="90"/>
    </xf>
    <xf numFmtId="0" fontId="14" fillId="0" borderId="21" xfId="4" applyFont="1" applyBorder="1" applyAlignment="1">
      <alignment horizontal="center" vertical="center" textRotation="90"/>
    </xf>
    <xf numFmtId="0" fontId="24" fillId="0" borderId="7" xfId="0" applyFont="1" applyBorder="1" applyAlignment="1">
      <alignment horizontal="left" vertical="center"/>
    </xf>
    <xf numFmtId="0" fontId="13" fillId="5" borderId="41" xfId="2" applyFont="1" applyFill="1" applyBorder="1" applyAlignment="1">
      <alignment horizontal="center" vertical="center"/>
    </xf>
    <xf numFmtId="0" fontId="13" fillId="5" borderId="42" xfId="2" applyFont="1" applyFill="1" applyBorder="1" applyAlignment="1">
      <alignment horizontal="center" vertical="center"/>
    </xf>
    <xf numFmtId="0" fontId="13" fillId="5" borderId="43" xfId="2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5" fillId="0" borderId="42" xfId="0" applyFont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9" fillId="0" borderId="44" xfId="0" applyFont="1" applyBorder="1" applyAlignment="1">
      <alignment horizontal="center" vertical="center" textRotation="90" wrapText="1"/>
    </xf>
    <xf numFmtId="0" fontId="29" fillId="0" borderId="46" xfId="0" applyFont="1" applyBorder="1" applyAlignment="1">
      <alignment horizontal="center" vertical="center" textRotation="90" wrapText="1"/>
    </xf>
    <xf numFmtId="0" fontId="29" fillId="0" borderId="47" xfId="0" applyFont="1" applyBorder="1" applyAlignment="1">
      <alignment horizontal="center" vertical="center" textRotation="90" wrapText="1"/>
    </xf>
    <xf numFmtId="0" fontId="31" fillId="0" borderId="17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14" fillId="5" borderId="17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18" xfId="0" applyFont="1" applyFill="1" applyBorder="1" applyAlignment="1">
      <alignment horizontal="center"/>
    </xf>
    <xf numFmtId="0" fontId="15" fillId="7" borderId="62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9" fillId="7" borderId="11" xfId="3" applyFill="1" applyBorder="1" applyAlignment="1">
      <alignment horizontal="center"/>
    </xf>
    <xf numFmtId="0" fontId="15" fillId="7" borderId="63" xfId="0" applyFont="1" applyFill="1" applyBorder="1" applyAlignment="1">
      <alignment horizontal="center"/>
    </xf>
    <xf numFmtId="0" fontId="15" fillId="7" borderId="56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9" fillId="7" borderId="2" xfId="3" applyFill="1" applyBorder="1" applyAlignment="1">
      <alignment horizontal="center"/>
    </xf>
    <xf numFmtId="0" fontId="15" fillId="7" borderId="57" xfId="0" applyFont="1" applyFill="1" applyBorder="1" applyAlignment="1">
      <alignment horizontal="center"/>
    </xf>
    <xf numFmtId="0" fontId="15" fillId="7" borderId="64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/>
    </xf>
    <xf numFmtId="0" fontId="19" fillId="7" borderId="15" xfId="3" applyFill="1" applyBorder="1" applyAlignment="1">
      <alignment horizontal="center"/>
    </xf>
    <xf numFmtId="0" fontId="15" fillId="7" borderId="65" xfId="0" applyFont="1" applyFill="1" applyBorder="1" applyAlignment="1">
      <alignment horizontal="center"/>
    </xf>
  </cellXfs>
  <cellStyles count="5">
    <cellStyle name="Hipervínculo" xfId="3" builtinId="8"/>
    <cellStyle name="Normal" xfId="0" builtinId="0"/>
    <cellStyle name="Normal 2" xfId="1"/>
    <cellStyle name="Normal 2 13" xfId="2"/>
    <cellStyle name="Normal 3" xfId="4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9C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95250</xdr:rowOff>
    </xdr:from>
    <xdr:to>
      <xdr:col>12</xdr:col>
      <xdr:colOff>541125</xdr:colOff>
      <xdr:row>4</xdr:row>
      <xdr:rowOff>126275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447675"/>
          <a:ext cx="1700000" cy="720000"/>
        </a:xfrm>
        <a:prstGeom prst="rect">
          <a:avLst/>
        </a:prstGeom>
      </xdr:spPr>
    </xdr:pic>
    <xdr:clientData/>
  </xdr:twoCellAnchor>
  <xdr:twoCellAnchor>
    <xdr:from>
      <xdr:col>0</xdr:col>
      <xdr:colOff>152401</xdr:colOff>
      <xdr:row>1</xdr:row>
      <xdr:rowOff>152400</xdr:rowOff>
    </xdr:from>
    <xdr:to>
      <xdr:col>2</xdr:col>
      <xdr:colOff>762000</xdr:colOff>
      <xdr:row>4</xdr:row>
      <xdr:rowOff>47624</xdr:rowOff>
    </xdr:to>
    <xdr:sp macro="" textlink="">
      <xdr:nvSpPr>
        <xdr:cNvPr id="7" name="784 CuadroTexto">
          <a:extLst>
            <a:ext uri="{FF2B5EF4-FFF2-40B4-BE49-F238E27FC236}">
              <a16:creationId xmlns:a16="http://schemas.microsoft.com/office/drawing/2014/main" xmlns="" id="{26D562E6-0EC5-4588-A4EC-325C16F1AA72}"/>
            </a:ext>
          </a:extLst>
        </xdr:cNvPr>
        <xdr:cNvSpPr txBox="1"/>
      </xdr:nvSpPr>
      <xdr:spPr>
        <a:xfrm>
          <a:off x="152401" y="504825"/>
          <a:ext cx="1943099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36000" rIns="36000" bIns="7200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>
    <xdr:from>
      <xdr:col>7</xdr:col>
      <xdr:colOff>2219325</xdr:colOff>
      <xdr:row>54</xdr:row>
      <xdr:rowOff>0</xdr:rowOff>
    </xdr:from>
    <xdr:to>
      <xdr:col>13</xdr:col>
      <xdr:colOff>0</xdr:colOff>
      <xdr:row>79</xdr:row>
      <xdr:rowOff>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xmlns="" id="{B7CEC335-5D4C-4337-B76C-AAD0CE939F03}"/>
            </a:ext>
          </a:extLst>
        </xdr:cNvPr>
        <xdr:cNvSpPr txBox="1"/>
      </xdr:nvSpPr>
      <xdr:spPr>
        <a:xfrm>
          <a:off x="9029700" y="29356050"/>
          <a:ext cx="5400675" cy="46672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(todo tren) establecida en la ingeniería de 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LOS CLAVELES	CC - CW	PK. 5 P.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7/8		65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LAS GARZAS	CC - CW	PK. 5 P. 13/15		65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DIAGONAL BIO BIO	CC - CW	PK. 5 P. 23/25		65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DANIEL BELMAR	CC - CW	PK. 6 P. 35/37		65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05.- MICHAIHUE	CC - CW	PK. 7 P. 9/11		65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06.- COSTA VERDE	CC - CW	PK. 8 P. 23/25		65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07.- MAPAL		CC - CW	PK. 10 P. 1		65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08.- LOMAS COLORADAS	CC - CW	PK. 11 P. 17/19	65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09.- PORTAL SAN PEDRO	CC - CW	PK. 12 P. 7/9		65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10.- CONAVICOOP	CC - CW	PK. 13 P. 3/5		65 KM/HR</a:t>
          </a:r>
        </a:p>
        <a:p>
          <a:pPr eaLnBrk="1" fontAlgn="auto" latinLnBrk="0" hangingPunct="1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PARQUE INDUSTRIAL 2	CC - CW	PK. 18 P. 17/19	65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PARQUE INDUSTRIAL 1	CC - CW	PK. 19/20 P. 33/1	65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13.- SAN FRANCISCO	CC - CW	PK. 22 P. 13/15	65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14.- CERRO EL PLOMO	CC - CW	PK. 22 P. 23/25	65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VOLCAN VILLARRICA	CC - CW	PK. 23 P. 3/5		65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16.- LOS MOLINEROS	CC - CW	PK. 23 P. 31/33	65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17.- H. DE LA CONCEPCION	CC - CW	PK. 25 P. 19/21	65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18.- YOBILO		CC - CW	PK. 26 P. 3/5		65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19.- CRUZ MORA	CC - CW	PK. 26 P. 21/23	65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20.- LO ROJAS		CC - CW	PK. 27 P. 15/17	65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1181099</xdr:colOff>
      <xdr:row>58</xdr:row>
      <xdr:rowOff>0</xdr:rowOff>
    </xdr:from>
    <xdr:to>
      <xdr:col>7</xdr:col>
      <xdr:colOff>2219325</xdr:colOff>
      <xdr:row>73</xdr:row>
      <xdr:rowOff>0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xmlns="" id="{14683CAC-35D8-41E8-80C1-B9DCB5C7990E}"/>
            </a:ext>
          </a:extLst>
        </xdr:cNvPr>
        <xdr:cNvSpPr txBox="1"/>
      </xdr:nvSpPr>
      <xdr:spPr>
        <a:xfrm>
          <a:off x="3562349" y="30013275"/>
          <a:ext cx="5467351" cy="299085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endParaRPr lang="es-CL" sz="1400" b="1" u="sng"/>
        </a:p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PERADOR.CONCEPCION@EFESUR.CL" TargetMode="External"/><Relationship Id="rId2" Type="http://schemas.openxmlformats.org/officeDocument/2006/relationships/hyperlink" Target="mailto:CT.CON@EFESUR.CL" TargetMode="External"/><Relationship Id="rId1" Type="http://schemas.openxmlformats.org/officeDocument/2006/relationships/hyperlink" Target="mailto:CONTROLADOR.SSER@EFESUR.C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ESPACHO.ELECTRICO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"/>
  <sheetViews>
    <sheetView showGridLines="0" tabSelected="1" zoomScaleNormal="100" workbookViewId="0">
      <selection activeCell="O14" sqref="O1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107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62"/>
      <c r="B1" s="63"/>
      <c r="C1" s="63"/>
      <c r="D1" s="63"/>
      <c r="E1" s="128" t="s">
        <v>104</v>
      </c>
      <c r="F1" s="128"/>
      <c r="G1" s="128"/>
      <c r="H1" s="128"/>
      <c r="I1" s="63"/>
      <c r="J1" s="122">
        <v>46170</v>
      </c>
      <c r="K1" s="122"/>
      <c r="L1" s="122"/>
      <c r="M1" s="123"/>
    </row>
    <row r="2" spans="1:13" ht="13.5" customHeight="1" thickTop="1" x14ac:dyDescent="0.25">
      <c r="A2" s="124"/>
      <c r="B2" s="125"/>
      <c r="C2" s="23"/>
      <c r="D2" s="19"/>
      <c r="E2" s="91"/>
      <c r="F2" s="92"/>
      <c r="G2" s="20"/>
      <c r="H2" s="2"/>
      <c r="I2" s="126"/>
      <c r="J2" s="126"/>
      <c r="K2" s="126"/>
      <c r="L2" s="126"/>
      <c r="M2" s="127"/>
    </row>
    <row r="3" spans="1:13" ht="18" customHeight="1" x14ac:dyDescent="0.25">
      <c r="A3" s="130"/>
      <c r="B3" s="131"/>
      <c r="C3" s="22"/>
      <c r="D3" s="6"/>
      <c r="E3" s="129" t="s">
        <v>46</v>
      </c>
      <c r="F3" s="129"/>
      <c r="G3" s="89" t="s">
        <v>45</v>
      </c>
      <c r="H3" s="89" t="s">
        <v>44</v>
      </c>
      <c r="J3" s="3"/>
      <c r="K3" s="3"/>
      <c r="L3" s="3"/>
      <c r="M3" s="64"/>
    </row>
    <row r="4" spans="1:13" ht="23.25" x14ac:dyDescent="0.35">
      <c r="A4" s="117"/>
      <c r="B4" s="118"/>
      <c r="C4" s="24"/>
      <c r="D4" s="7"/>
      <c r="E4" s="121">
        <f ca="1">TODAY()</f>
        <v>46177</v>
      </c>
      <c r="F4" s="121"/>
      <c r="G4" s="90">
        <v>148</v>
      </c>
      <c r="H4" s="21" t="s">
        <v>163</v>
      </c>
      <c r="I4" s="4"/>
      <c r="J4" s="4"/>
      <c r="K4" s="4"/>
      <c r="L4" s="4"/>
      <c r="M4" s="65"/>
    </row>
    <row r="5" spans="1:13" ht="16.5" thickBot="1" x14ac:dyDescent="0.3">
      <c r="A5" s="119"/>
      <c r="B5" s="120"/>
      <c r="C5" s="25"/>
      <c r="D5" s="8"/>
      <c r="E5" s="93"/>
      <c r="F5" s="93"/>
      <c r="G5" s="8"/>
      <c r="H5" s="8"/>
      <c r="I5" s="8"/>
      <c r="J5" s="8"/>
      <c r="K5" s="8"/>
      <c r="L5" s="8"/>
      <c r="M5" s="66"/>
    </row>
    <row r="6" spans="1:13" ht="19.5" customHeight="1" thickBot="1" x14ac:dyDescent="0.3">
      <c r="A6" s="109"/>
      <c r="B6" s="110"/>
      <c r="C6" s="110"/>
      <c r="D6" s="114" t="s">
        <v>105</v>
      </c>
      <c r="E6" s="114"/>
      <c r="F6" s="114"/>
      <c r="G6" s="114"/>
      <c r="H6" s="114"/>
      <c r="I6" s="114"/>
      <c r="J6" s="114"/>
      <c r="K6" s="114"/>
      <c r="L6" s="110"/>
      <c r="M6" s="111"/>
    </row>
    <row r="7" spans="1:13" ht="18" customHeight="1" x14ac:dyDescent="0.25">
      <c r="A7" s="140" t="s">
        <v>5</v>
      </c>
      <c r="B7" s="151" t="s">
        <v>0</v>
      </c>
      <c r="C7" s="152"/>
      <c r="D7" s="112" t="s">
        <v>13</v>
      </c>
      <c r="E7" s="115" t="s">
        <v>6</v>
      </c>
      <c r="F7" s="116"/>
      <c r="G7" s="112" t="s">
        <v>42</v>
      </c>
      <c r="H7" s="112" t="s">
        <v>7</v>
      </c>
      <c r="I7" s="142" t="s">
        <v>3</v>
      </c>
      <c r="J7" s="143"/>
      <c r="K7" s="144" t="s">
        <v>4</v>
      </c>
      <c r="L7" s="143"/>
      <c r="M7" s="135" t="s">
        <v>28</v>
      </c>
    </row>
    <row r="8" spans="1:13" ht="18" customHeight="1" x14ac:dyDescent="0.25">
      <c r="A8" s="141"/>
      <c r="B8" s="11" t="s">
        <v>1</v>
      </c>
      <c r="C8" s="11" t="s">
        <v>2</v>
      </c>
      <c r="D8" s="113"/>
      <c r="E8" s="94" t="s">
        <v>1</v>
      </c>
      <c r="F8" s="94" t="s">
        <v>2</v>
      </c>
      <c r="G8" s="113"/>
      <c r="H8" s="113"/>
      <c r="I8" s="17" t="s">
        <v>8</v>
      </c>
      <c r="J8" s="18" t="s">
        <v>41</v>
      </c>
      <c r="K8" s="18" t="s">
        <v>8</v>
      </c>
      <c r="L8" s="18" t="s">
        <v>41</v>
      </c>
      <c r="M8" s="136"/>
    </row>
    <row r="9" spans="1:13" ht="60" x14ac:dyDescent="0.25">
      <c r="A9" s="67" t="e" cm="1">
        <f t="array" aca="1" ref="A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#NAME?</v>
      </c>
      <c r="B9" s="14" t="s">
        <v>121</v>
      </c>
      <c r="C9" s="13" t="s">
        <v>121</v>
      </c>
      <c r="D9" s="13" t="s">
        <v>123</v>
      </c>
      <c r="E9" s="95" t="s">
        <v>124</v>
      </c>
      <c r="F9" s="95" t="s">
        <v>125</v>
      </c>
      <c r="G9" s="13" t="s">
        <v>120</v>
      </c>
      <c r="H9" s="13" t="s">
        <v>126</v>
      </c>
      <c r="I9" s="15">
        <v>0</v>
      </c>
      <c r="J9" s="15">
        <v>0.99930555555555556</v>
      </c>
      <c r="K9" s="16">
        <v>45632</v>
      </c>
      <c r="L9" s="16" t="s">
        <v>115</v>
      </c>
      <c r="M9" s="68" t="s">
        <v>116</v>
      </c>
    </row>
    <row r="10" spans="1:13" ht="45" x14ac:dyDescent="0.25">
      <c r="A10" s="67" t="e" cm="1">
        <f t="array" aca="1" ref="A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#NAME?</v>
      </c>
      <c r="B10" s="14" t="s">
        <v>121</v>
      </c>
      <c r="C10" s="13" t="s">
        <v>121</v>
      </c>
      <c r="D10" s="13" t="s">
        <v>119</v>
      </c>
      <c r="E10" s="95" t="s">
        <v>127</v>
      </c>
      <c r="F10" s="95" t="s">
        <v>128</v>
      </c>
      <c r="G10" s="13" t="s">
        <v>120</v>
      </c>
      <c r="H10" s="13" t="s">
        <v>129</v>
      </c>
      <c r="I10" s="15">
        <v>0</v>
      </c>
      <c r="J10" s="15">
        <v>0.99930555555555556</v>
      </c>
      <c r="K10" s="16">
        <v>45905</v>
      </c>
      <c r="L10" s="16" t="s">
        <v>115</v>
      </c>
      <c r="M10" s="68" t="s">
        <v>116</v>
      </c>
    </row>
    <row r="11" spans="1:13" ht="60" x14ac:dyDescent="0.25">
      <c r="A11" s="67" t="e" cm="1">
        <f t="array" aca="1" ref="A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#NAME?</v>
      </c>
      <c r="B11" s="14" t="s">
        <v>121</v>
      </c>
      <c r="C11" s="13" t="s">
        <v>121</v>
      </c>
      <c r="D11" s="13" t="s">
        <v>130</v>
      </c>
      <c r="E11" s="95" t="s">
        <v>128</v>
      </c>
      <c r="F11" s="95" t="s">
        <v>131</v>
      </c>
      <c r="G11" s="13" t="s">
        <v>132</v>
      </c>
      <c r="H11" s="13" t="s">
        <v>133</v>
      </c>
      <c r="I11" s="15">
        <v>0</v>
      </c>
      <c r="J11" s="15">
        <v>0.99930555555555556</v>
      </c>
      <c r="K11" s="16">
        <v>46030</v>
      </c>
      <c r="L11" s="16" t="s">
        <v>115</v>
      </c>
      <c r="M11" s="68" t="s">
        <v>134</v>
      </c>
    </row>
    <row r="12" spans="1:13" ht="45.75" thickBot="1" x14ac:dyDescent="0.3">
      <c r="A12" s="67" t="e" cm="1">
        <f t="array" aca="1" ref="A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#NAME?</v>
      </c>
      <c r="B12" s="14" t="s">
        <v>121</v>
      </c>
      <c r="C12" s="13" t="s">
        <v>121</v>
      </c>
      <c r="D12" s="13" t="s">
        <v>118</v>
      </c>
      <c r="E12" s="95" t="s">
        <v>135</v>
      </c>
      <c r="F12" s="95" t="s">
        <v>136</v>
      </c>
      <c r="G12" s="13" t="s">
        <v>117</v>
      </c>
      <c r="H12" s="13" t="s">
        <v>137</v>
      </c>
      <c r="I12" s="15">
        <v>0</v>
      </c>
      <c r="J12" s="15">
        <v>0.25</v>
      </c>
      <c r="K12" s="16">
        <v>46170</v>
      </c>
      <c r="L12" s="16">
        <v>46170</v>
      </c>
      <c r="M12" s="68" t="s">
        <v>138</v>
      </c>
    </row>
    <row r="13" spans="1:13" ht="19.5" thickBot="1" x14ac:dyDescent="0.3">
      <c r="A13" s="109"/>
      <c r="B13" s="110"/>
      <c r="C13" s="110"/>
      <c r="D13" s="114" t="s">
        <v>106</v>
      </c>
      <c r="E13" s="114"/>
      <c r="F13" s="114"/>
      <c r="G13" s="114"/>
      <c r="H13" s="114"/>
      <c r="I13" s="114"/>
      <c r="J13" s="114"/>
      <c r="K13" s="114"/>
      <c r="L13" s="110"/>
      <c r="M13" s="111"/>
    </row>
    <row r="14" spans="1:13" ht="30.75" thickBot="1" x14ac:dyDescent="0.3">
      <c r="A14" s="67" t="e" cm="1">
        <f t="array" aca="1" ref="A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#NAME?</v>
      </c>
      <c r="B14" s="14" t="s">
        <v>121</v>
      </c>
      <c r="C14" s="13" t="s">
        <v>146</v>
      </c>
      <c r="D14" s="13" t="s">
        <v>118</v>
      </c>
      <c r="E14" s="95" t="s">
        <v>159</v>
      </c>
      <c r="F14" s="95" t="s">
        <v>160</v>
      </c>
      <c r="G14" s="13" t="s">
        <v>122</v>
      </c>
      <c r="H14" s="13" t="s">
        <v>162</v>
      </c>
      <c r="I14" s="15">
        <v>0.45833333333333331</v>
      </c>
      <c r="J14" s="15">
        <v>0.70833333333333337</v>
      </c>
      <c r="K14" s="16">
        <v>46170</v>
      </c>
      <c r="L14" s="16">
        <v>46170</v>
      </c>
      <c r="M14" s="68" t="s">
        <v>161</v>
      </c>
    </row>
    <row r="15" spans="1:13" ht="19.5" thickBot="1" x14ac:dyDescent="0.3">
      <c r="A15" s="109"/>
      <c r="B15" s="110"/>
      <c r="C15" s="110"/>
      <c r="D15" s="114" t="s">
        <v>114</v>
      </c>
      <c r="E15" s="114"/>
      <c r="F15" s="114"/>
      <c r="G15" s="114"/>
      <c r="H15" s="114"/>
      <c r="I15" s="114"/>
      <c r="J15" s="114"/>
      <c r="K15" s="114"/>
      <c r="L15" s="110"/>
      <c r="M15" s="111"/>
    </row>
    <row r="16" spans="1:13" ht="15.75" x14ac:dyDescent="0.25">
      <c r="A16" s="157" t="s">
        <v>5</v>
      </c>
      <c r="B16" s="155" t="s">
        <v>0</v>
      </c>
      <c r="C16" s="156"/>
      <c r="D16" s="153" t="s">
        <v>14</v>
      </c>
      <c r="E16" s="115" t="s">
        <v>6</v>
      </c>
      <c r="F16" s="116"/>
      <c r="G16" s="153" t="s">
        <v>43</v>
      </c>
      <c r="H16" s="153" t="s">
        <v>30</v>
      </c>
      <c r="I16" s="149" t="s">
        <v>3</v>
      </c>
      <c r="J16" s="150"/>
      <c r="K16" s="147" t="s">
        <v>4</v>
      </c>
      <c r="L16" s="148"/>
      <c r="M16" s="145" t="s">
        <v>12</v>
      </c>
    </row>
    <row r="17" spans="1:13" ht="15.75" x14ac:dyDescent="0.25">
      <c r="A17" s="158"/>
      <c r="B17" s="5" t="s">
        <v>1</v>
      </c>
      <c r="C17" s="12" t="s">
        <v>2</v>
      </c>
      <c r="D17" s="154"/>
      <c r="E17" s="94" t="s">
        <v>1</v>
      </c>
      <c r="F17" s="94" t="s">
        <v>2</v>
      </c>
      <c r="G17" s="154"/>
      <c r="H17" s="154"/>
      <c r="I17" s="17" t="s">
        <v>8</v>
      </c>
      <c r="J17" s="18" t="s">
        <v>41</v>
      </c>
      <c r="K17" s="18" t="s">
        <v>8</v>
      </c>
      <c r="L17" s="18" t="s">
        <v>41</v>
      </c>
      <c r="M17" s="146"/>
    </row>
    <row r="18" spans="1:13" ht="45" x14ac:dyDescent="0.25">
      <c r="A18" s="67" t="e" cm="1">
        <f t="array" aca="1" ref="A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#NAME?</v>
      </c>
      <c r="B18" s="14" t="s">
        <v>139</v>
      </c>
      <c r="C18" s="13" t="s">
        <v>140</v>
      </c>
      <c r="D18" s="13" t="s">
        <v>142</v>
      </c>
      <c r="E18" s="95" t="s">
        <v>149</v>
      </c>
      <c r="F18" s="95" t="s">
        <v>150</v>
      </c>
      <c r="G18" s="13" t="s">
        <v>143</v>
      </c>
      <c r="H18" s="13" t="s">
        <v>151</v>
      </c>
      <c r="I18" s="108">
        <v>0</v>
      </c>
      <c r="J18" s="108">
        <v>0.20833333333333334</v>
      </c>
      <c r="K18" s="16">
        <v>46170</v>
      </c>
      <c r="L18" s="16">
        <v>46170</v>
      </c>
      <c r="M18" s="68" t="s">
        <v>147</v>
      </c>
    </row>
    <row r="19" spans="1:13" ht="45" x14ac:dyDescent="0.25">
      <c r="A19" s="67" t="e" cm="1">
        <f t="array" aca="1" ref="A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#NAME?</v>
      </c>
      <c r="B19" s="14" t="s">
        <v>139</v>
      </c>
      <c r="C19" s="13" t="s">
        <v>140</v>
      </c>
      <c r="D19" s="13" t="s">
        <v>142</v>
      </c>
      <c r="E19" s="95" t="s">
        <v>148</v>
      </c>
      <c r="F19" s="95" t="s">
        <v>152</v>
      </c>
      <c r="G19" s="13" t="s">
        <v>143</v>
      </c>
      <c r="H19" s="13" t="s">
        <v>153</v>
      </c>
      <c r="I19" s="108">
        <v>0</v>
      </c>
      <c r="J19" s="108">
        <v>0.20833333333333334</v>
      </c>
      <c r="K19" s="16">
        <v>46170</v>
      </c>
      <c r="L19" s="16">
        <v>46170</v>
      </c>
      <c r="M19" s="68" t="s">
        <v>147</v>
      </c>
    </row>
    <row r="20" spans="1:13" ht="45" x14ac:dyDescent="0.25">
      <c r="A20" s="67" t="e" cm="1">
        <f t="array" aca="1" ref="A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#NAME?</v>
      </c>
      <c r="B20" s="14" t="s">
        <v>139</v>
      </c>
      <c r="C20" s="13" t="s">
        <v>141</v>
      </c>
      <c r="D20" s="13" t="s">
        <v>142</v>
      </c>
      <c r="E20" s="95" t="s">
        <v>148</v>
      </c>
      <c r="F20" s="95" t="s">
        <v>154</v>
      </c>
      <c r="G20" s="13" t="s">
        <v>143</v>
      </c>
      <c r="H20" s="13" t="s">
        <v>144</v>
      </c>
      <c r="I20" s="108">
        <v>8.3333333333333329E-2</v>
      </c>
      <c r="J20" s="108">
        <v>0.16666666666666666</v>
      </c>
      <c r="K20" s="16">
        <v>46170</v>
      </c>
      <c r="L20" s="16">
        <v>46170</v>
      </c>
      <c r="M20" s="68" t="s">
        <v>145</v>
      </c>
    </row>
    <row r="21" spans="1:13" ht="45" x14ac:dyDescent="0.25">
      <c r="A21" s="67" t="e" cm="1">
        <f t="array" aca="1" ref="A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#NAME?</v>
      </c>
      <c r="B21" s="14" t="s">
        <v>141</v>
      </c>
      <c r="C21" s="13" t="s">
        <v>146</v>
      </c>
      <c r="D21" s="13" t="s">
        <v>142</v>
      </c>
      <c r="E21" s="95" t="s">
        <v>154</v>
      </c>
      <c r="F21" s="95">
        <v>29</v>
      </c>
      <c r="G21" s="13" t="s">
        <v>143</v>
      </c>
      <c r="H21" s="13" t="s">
        <v>144</v>
      </c>
      <c r="I21" s="108">
        <v>0.16666666666666666</v>
      </c>
      <c r="J21" s="108">
        <v>0.25</v>
      </c>
      <c r="K21" s="16">
        <v>46170</v>
      </c>
      <c r="L21" s="16">
        <v>46170</v>
      </c>
      <c r="M21" s="68" t="s">
        <v>145</v>
      </c>
    </row>
    <row r="22" spans="1:13" ht="105" x14ac:dyDescent="0.25">
      <c r="A22" s="67" t="e" cm="1">
        <f t="array" aca="1" ref="A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#NAME?</v>
      </c>
      <c r="B22" s="14" t="s">
        <v>155</v>
      </c>
      <c r="C22" s="13" t="s">
        <v>155</v>
      </c>
      <c r="D22" s="168" t="s">
        <v>156</v>
      </c>
      <c r="E22" s="169"/>
      <c r="F22" s="170"/>
      <c r="G22" s="13" t="s">
        <v>143</v>
      </c>
      <c r="H22" s="13" t="s">
        <v>157</v>
      </c>
      <c r="I22" s="108">
        <v>0</v>
      </c>
      <c r="J22" s="108">
        <v>0.1875</v>
      </c>
      <c r="K22" s="16">
        <v>46170</v>
      </c>
      <c r="L22" s="16">
        <v>46170</v>
      </c>
      <c r="M22" s="68" t="s">
        <v>158</v>
      </c>
    </row>
    <row r="23" spans="1:13" ht="15.75" thickBot="1" x14ac:dyDescent="0.3">
      <c r="A23" s="32"/>
      <c r="B23" s="26"/>
      <c r="C23" s="27"/>
      <c r="D23" s="27"/>
      <c r="E23" s="96"/>
      <c r="F23" s="96"/>
      <c r="G23" s="27"/>
      <c r="H23" s="27"/>
      <c r="I23" s="28"/>
      <c r="J23" s="28"/>
      <c r="K23" s="29"/>
      <c r="L23" s="29"/>
      <c r="M23" s="30"/>
    </row>
    <row r="24" spans="1:13" ht="23.25" x14ac:dyDescent="0.25">
      <c r="A24" s="171" t="s">
        <v>47</v>
      </c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3"/>
    </row>
    <row r="25" spans="1:13" ht="24" thickBot="1" x14ac:dyDescent="0.3">
      <c r="A25" s="174" t="s">
        <v>48</v>
      </c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6"/>
    </row>
    <row r="26" spans="1:13" x14ac:dyDescent="0.25">
      <c r="A26" s="177" t="s">
        <v>49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9"/>
    </row>
    <row r="27" spans="1:13" ht="15.75" thickBot="1" x14ac:dyDescent="0.3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2"/>
    </row>
    <row r="28" spans="1:13" x14ac:dyDescent="0.25">
      <c r="A28" s="183" t="s">
        <v>50</v>
      </c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5"/>
    </row>
    <row r="29" spans="1:13" ht="15.75" thickBot="1" x14ac:dyDescent="0.3">
      <c r="A29" s="186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8"/>
    </row>
    <row r="30" spans="1:13" ht="24" thickBot="1" x14ac:dyDescent="0.3">
      <c r="A30" s="165" t="s">
        <v>51</v>
      </c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7"/>
    </row>
    <row r="31" spans="1:13" ht="23.25" x14ac:dyDescent="0.25">
      <c r="A31" s="159" t="s">
        <v>52</v>
      </c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1"/>
    </row>
    <row r="32" spans="1:13" ht="24" thickBot="1" x14ac:dyDescent="0.3">
      <c r="A32" s="162" t="s">
        <v>53</v>
      </c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4"/>
    </row>
    <row r="33" spans="1:13" ht="24" thickBot="1" x14ac:dyDescent="0.3">
      <c r="A33" s="199" t="s">
        <v>54</v>
      </c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1"/>
    </row>
    <row r="34" spans="1:13" ht="24" thickBot="1" x14ac:dyDescent="0.3">
      <c r="A34" s="137" t="s">
        <v>55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9"/>
    </row>
    <row r="35" spans="1:13" ht="24.75" thickTop="1" thickBot="1" x14ac:dyDescent="0.3">
      <c r="A35" s="189" t="s">
        <v>56</v>
      </c>
      <c r="B35" s="190"/>
      <c r="C35" s="190"/>
      <c r="D35" s="190"/>
      <c r="E35" s="190"/>
      <c r="F35" s="190"/>
      <c r="G35" s="191"/>
      <c r="H35" s="190" t="s">
        <v>57</v>
      </c>
      <c r="I35" s="190"/>
      <c r="J35" s="190"/>
      <c r="K35" s="190"/>
      <c r="L35" s="190"/>
      <c r="M35" s="195"/>
    </row>
    <row r="36" spans="1:13" ht="24.75" thickTop="1" thickBot="1" x14ac:dyDescent="0.3">
      <c r="A36" s="192"/>
      <c r="B36" s="193"/>
      <c r="C36" s="193"/>
      <c r="D36" s="193"/>
      <c r="E36" s="193"/>
      <c r="F36" s="193"/>
      <c r="G36" s="194"/>
      <c r="H36" s="196" t="s">
        <v>58</v>
      </c>
      <c r="I36" s="197"/>
      <c r="J36" s="197"/>
      <c r="K36" s="197"/>
      <c r="L36" s="197"/>
      <c r="M36" s="198"/>
    </row>
    <row r="37" spans="1:13" ht="15.75" thickTop="1" x14ac:dyDescent="0.25">
      <c r="A37" s="202" t="s">
        <v>59</v>
      </c>
      <c r="B37" s="134" t="s">
        <v>60</v>
      </c>
      <c r="C37" s="134"/>
      <c r="D37" s="134"/>
      <c r="E37" s="134"/>
      <c r="F37" s="134"/>
      <c r="G37" s="134"/>
      <c r="H37" s="134"/>
      <c r="I37" s="134"/>
      <c r="J37" s="134"/>
      <c r="K37" s="134"/>
      <c r="L37" s="31"/>
      <c r="M37" s="33"/>
    </row>
    <row r="38" spans="1:13" x14ac:dyDescent="0.25">
      <c r="A38" s="203"/>
      <c r="B38" s="134" t="s">
        <v>61</v>
      </c>
      <c r="C38" s="134"/>
      <c r="D38" s="134"/>
      <c r="E38" s="134"/>
      <c r="F38" s="134"/>
      <c r="G38" s="134"/>
      <c r="H38" s="134"/>
      <c r="I38" s="134"/>
      <c r="J38" s="134"/>
      <c r="K38" s="134"/>
      <c r="L38" s="31"/>
      <c r="M38" s="33"/>
    </row>
    <row r="39" spans="1:13" ht="19.5" customHeight="1" x14ac:dyDescent="0.25">
      <c r="A39" s="203"/>
      <c r="B39" s="134" t="s">
        <v>62</v>
      </c>
      <c r="C39" s="134"/>
      <c r="D39" s="134"/>
      <c r="E39" s="134"/>
      <c r="F39" s="134"/>
      <c r="G39" s="134"/>
      <c r="H39" s="134"/>
      <c r="I39" s="134"/>
      <c r="J39" s="134"/>
      <c r="K39" s="134"/>
      <c r="L39" s="31"/>
      <c r="M39" s="33"/>
    </row>
    <row r="40" spans="1:13" ht="15.75" thickBot="1" x14ac:dyDescent="0.3">
      <c r="A40" s="204"/>
      <c r="B40" s="205" t="s">
        <v>63</v>
      </c>
      <c r="C40" s="205"/>
      <c r="D40" s="205"/>
      <c r="E40" s="205"/>
      <c r="F40" s="205"/>
      <c r="G40" s="205"/>
      <c r="H40" s="205"/>
      <c r="I40" s="205"/>
      <c r="J40" s="205"/>
      <c r="K40" s="205"/>
      <c r="L40" s="34"/>
      <c r="M40" s="35"/>
    </row>
    <row r="41" spans="1:13" x14ac:dyDescent="0.25">
      <c r="A41" s="132" t="s">
        <v>64</v>
      </c>
      <c r="B41" s="134" t="s">
        <v>65</v>
      </c>
      <c r="C41" s="134"/>
      <c r="D41" s="134"/>
      <c r="E41" s="134"/>
      <c r="F41" s="134"/>
      <c r="G41" s="134"/>
      <c r="H41" s="134"/>
      <c r="I41" s="134"/>
      <c r="J41" s="134"/>
      <c r="K41" s="134"/>
      <c r="L41" s="31"/>
      <c r="M41" s="33"/>
    </row>
    <row r="42" spans="1:13" ht="15.75" thickBot="1" x14ac:dyDescent="0.3">
      <c r="A42" s="133"/>
      <c r="B42" s="134" t="s">
        <v>66</v>
      </c>
      <c r="C42" s="134"/>
      <c r="D42" s="134"/>
      <c r="E42" s="134"/>
      <c r="F42" s="134"/>
      <c r="G42" s="134"/>
      <c r="H42" s="134"/>
      <c r="I42" s="134"/>
      <c r="J42" s="134"/>
      <c r="K42" s="134"/>
      <c r="L42" s="31"/>
      <c r="M42" s="33"/>
    </row>
    <row r="43" spans="1:13" ht="15.75" thickBot="1" x14ac:dyDescent="0.3">
      <c r="A43" s="69"/>
      <c r="B43" s="70"/>
      <c r="C43" s="70"/>
      <c r="D43" s="70"/>
      <c r="E43" s="97"/>
      <c r="F43" s="97"/>
      <c r="G43" s="71"/>
      <c r="H43" s="71"/>
      <c r="I43" s="71"/>
      <c r="J43" s="71"/>
      <c r="K43" s="71"/>
      <c r="L43" s="71"/>
      <c r="M43" s="72"/>
    </row>
    <row r="44" spans="1:13" ht="21.75" thickBot="1" x14ac:dyDescent="0.3">
      <c r="A44" s="206" t="s">
        <v>67</v>
      </c>
      <c r="B44" s="207"/>
      <c r="C44" s="207"/>
      <c r="D44" s="207"/>
      <c r="E44" s="207"/>
      <c r="F44" s="207"/>
      <c r="G44" s="207"/>
      <c r="H44" s="207"/>
      <c r="I44" s="207"/>
      <c r="J44" s="207"/>
      <c r="K44" s="207"/>
      <c r="L44" s="207"/>
      <c r="M44" s="208"/>
    </row>
    <row r="45" spans="1:13" x14ac:dyDescent="0.25">
      <c r="A45" s="36"/>
      <c r="B45" s="209" t="s">
        <v>68</v>
      </c>
      <c r="C45" s="210"/>
      <c r="D45" s="210"/>
      <c r="E45" s="210"/>
      <c r="F45" s="210"/>
      <c r="G45" s="210"/>
      <c r="H45" s="210"/>
      <c r="I45" s="210"/>
      <c r="J45" s="210"/>
      <c r="K45" s="210"/>
      <c r="L45" s="37"/>
      <c r="M45" s="38"/>
    </row>
    <row r="46" spans="1:13" x14ac:dyDescent="0.25">
      <c r="A46" s="39"/>
      <c r="B46" s="73" t="s">
        <v>69</v>
      </c>
      <c r="C46" s="73"/>
      <c r="D46" s="73"/>
      <c r="E46" s="98"/>
      <c r="F46" s="98"/>
      <c r="G46" s="73"/>
      <c r="H46" s="73"/>
      <c r="I46" s="73"/>
      <c r="J46" s="73"/>
      <c r="K46" s="73"/>
      <c r="L46" s="73"/>
      <c r="M46" s="40"/>
    </row>
    <row r="47" spans="1:13" ht="15.75" thickBot="1" x14ac:dyDescent="0.3">
      <c r="A47" s="39"/>
      <c r="B47" s="73" t="s">
        <v>70</v>
      </c>
      <c r="C47" s="74"/>
      <c r="D47" s="74"/>
      <c r="E47" s="99"/>
      <c r="F47" s="99"/>
      <c r="G47" s="74"/>
      <c r="H47" s="74"/>
      <c r="I47" s="75"/>
      <c r="J47" s="75"/>
      <c r="K47" s="75"/>
      <c r="L47" s="76"/>
      <c r="M47" s="41"/>
    </row>
    <row r="48" spans="1:13" ht="15.75" thickBot="1" x14ac:dyDescent="0.3">
      <c r="A48" s="42"/>
      <c r="B48" s="211" t="s">
        <v>71</v>
      </c>
      <c r="C48" s="211"/>
      <c r="D48" s="211"/>
      <c r="E48" s="211"/>
      <c r="F48" s="211"/>
      <c r="G48" s="211"/>
      <c r="H48" s="43"/>
      <c r="I48" s="43"/>
      <c r="J48" s="43"/>
      <c r="K48" s="43"/>
      <c r="L48" s="44"/>
      <c r="M48" s="45"/>
    </row>
    <row r="49" spans="1:13" x14ac:dyDescent="0.25">
      <c r="A49" s="39"/>
      <c r="B49" s="212" t="s">
        <v>72</v>
      </c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3"/>
    </row>
    <row r="50" spans="1:13" x14ac:dyDescent="0.25">
      <c r="A50" s="39"/>
      <c r="B50" s="212" t="s">
        <v>73</v>
      </c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3"/>
    </row>
    <row r="51" spans="1:13" ht="19.5" customHeight="1" x14ac:dyDescent="0.25">
      <c r="A51" s="39"/>
      <c r="B51" s="212" t="s">
        <v>74</v>
      </c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3"/>
    </row>
    <row r="52" spans="1:13" ht="18" customHeight="1" x14ac:dyDescent="0.25">
      <c r="A52" s="46"/>
      <c r="B52" s="212" t="s">
        <v>75</v>
      </c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3"/>
    </row>
    <row r="53" spans="1:13" ht="18" customHeight="1" thickBot="1" x14ac:dyDescent="0.3">
      <c r="A53" s="59"/>
      <c r="B53" s="77"/>
      <c r="C53" s="77"/>
      <c r="D53" s="77"/>
      <c r="E53" s="100"/>
      <c r="F53" s="100"/>
      <c r="G53" s="77"/>
      <c r="H53" s="71"/>
      <c r="I53" s="71"/>
      <c r="J53" s="71"/>
      <c r="K53" s="71"/>
      <c r="L53" s="71"/>
      <c r="M53" s="72"/>
    </row>
    <row r="54" spans="1:13" ht="21.75" thickBot="1" x14ac:dyDescent="0.3">
      <c r="A54" s="206" t="s">
        <v>76</v>
      </c>
      <c r="B54" s="207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8"/>
    </row>
    <row r="55" spans="1:13" ht="15.75" x14ac:dyDescent="0.25">
      <c r="A55" s="78" t="s">
        <v>77</v>
      </c>
      <c r="B55" s="48"/>
      <c r="C55" s="48"/>
      <c r="D55" s="48"/>
      <c r="E55" s="101"/>
      <c r="F55" s="101"/>
      <c r="G55" s="48"/>
      <c r="H55" s="48"/>
      <c r="I55" s="48"/>
      <c r="J55" s="48"/>
      <c r="K55" s="48"/>
      <c r="L55" s="49"/>
      <c r="M55" s="50"/>
    </row>
    <row r="56" spans="1:13" ht="15.75" x14ac:dyDescent="0.25">
      <c r="A56" s="214" t="s">
        <v>78</v>
      </c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49"/>
      <c r="M56" s="50"/>
    </row>
    <row r="57" spans="1:13" ht="15.75" x14ac:dyDescent="0.25">
      <c r="A57" s="214" t="s">
        <v>79</v>
      </c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49"/>
      <c r="M57" s="50"/>
    </row>
    <row r="58" spans="1:13" ht="16.5" thickBot="1" x14ac:dyDescent="0.3">
      <c r="A58" s="52"/>
      <c r="B58" s="79"/>
      <c r="C58" s="79"/>
      <c r="D58" s="79"/>
      <c r="E58" s="102"/>
      <c r="F58" s="102"/>
      <c r="G58" s="79"/>
      <c r="H58" s="79"/>
      <c r="I58" s="79"/>
      <c r="J58" s="79"/>
      <c r="K58" s="79"/>
      <c r="L58" s="49"/>
      <c r="M58" s="50"/>
    </row>
    <row r="59" spans="1:13" ht="19.5" thickBot="1" x14ac:dyDescent="0.3">
      <c r="A59" s="53"/>
      <c r="B59" s="216" t="s">
        <v>80</v>
      </c>
      <c r="C59" s="54" t="s">
        <v>81</v>
      </c>
      <c r="D59" s="61" t="s">
        <v>103</v>
      </c>
      <c r="E59" s="103"/>
      <c r="F59" s="103"/>
      <c r="G59" s="80"/>
      <c r="H59" s="80"/>
      <c r="I59" s="81"/>
      <c r="J59" s="81"/>
      <c r="K59" s="81"/>
      <c r="L59" s="49"/>
      <c r="M59" s="50"/>
    </row>
    <row r="60" spans="1:13" ht="18.75" x14ac:dyDescent="0.25">
      <c r="A60" s="53"/>
      <c r="B60" s="217"/>
      <c r="C60" s="55" t="s">
        <v>82</v>
      </c>
      <c r="D60" s="56">
        <v>50</v>
      </c>
      <c r="E60" s="103"/>
      <c r="F60" s="103"/>
      <c r="G60" s="82"/>
      <c r="H60" s="51"/>
      <c r="I60" s="81"/>
      <c r="J60" s="81"/>
      <c r="K60" s="81"/>
      <c r="L60" s="49"/>
      <c r="M60" s="50"/>
    </row>
    <row r="61" spans="1:13" ht="15.75" x14ac:dyDescent="0.25">
      <c r="A61" s="53"/>
      <c r="B61" s="217"/>
      <c r="C61" s="55" t="s">
        <v>83</v>
      </c>
      <c r="D61" s="56" t="s">
        <v>97</v>
      </c>
      <c r="E61" s="104"/>
      <c r="F61" s="104"/>
      <c r="G61" s="82"/>
      <c r="H61" s="51"/>
      <c r="I61" s="81"/>
      <c r="J61" s="81"/>
      <c r="K61" s="81"/>
      <c r="L61" s="49"/>
      <c r="M61" s="50"/>
    </row>
    <row r="62" spans="1:13" ht="15.75" x14ac:dyDescent="0.25">
      <c r="A62" s="53"/>
      <c r="B62" s="217"/>
      <c r="C62" s="55" t="s">
        <v>84</v>
      </c>
      <c r="D62" s="56" t="s">
        <v>98</v>
      </c>
      <c r="E62" s="104"/>
      <c r="F62" s="104"/>
      <c r="G62" s="82"/>
      <c r="H62" s="51"/>
      <c r="I62" s="81"/>
      <c r="J62" s="81"/>
      <c r="K62" s="81"/>
      <c r="L62" s="49"/>
      <c r="M62" s="50"/>
    </row>
    <row r="63" spans="1:13" ht="15.75" x14ac:dyDescent="0.25">
      <c r="A63" s="53"/>
      <c r="B63" s="217"/>
      <c r="C63" s="55" t="s">
        <v>85</v>
      </c>
      <c r="D63" s="56" t="s">
        <v>97</v>
      </c>
      <c r="E63" s="104"/>
      <c r="F63" s="104"/>
      <c r="G63" s="82"/>
      <c r="H63" s="51"/>
      <c r="I63" s="81"/>
      <c r="J63" s="81"/>
      <c r="K63" s="81"/>
      <c r="L63" s="49"/>
      <c r="M63" s="50"/>
    </row>
    <row r="64" spans="1:13" ht="15.75" x14ac:dyDescent="0.25">
      <c r="A64" s="53"/>
      <c r="B64" s="217"/>
      <c r="C64" s="55" t="s">
        <v>86</v>
      </c>
      <c r="D64" s="56" t="s">
        <v>99</v>
      </c>
      <c r="E64" s="104"/>
      <c r="F64" s="104"/>
      <c r="G64" s="82"/>
      <c r="H64" s="51"/>
      <c r="I64" s="81"/>
      <c r="J64" s="81"/>
      <c r="K64" s="81"/>
      <c r="L64" s="49"/>
      <c r="M64" s="50"/>
    </row>
    <row r="65" spans="1:13" ht="15.75" x14ac:dyDescent="0.25">
      <c r="A65" s="53"/>
      <c r="B65" s="217"/>
      <c r="C65" s="55" t="s">
        <v>87</v>
      </c>
      <c r="D65" s="56" t="s">
        <v>100</v>
      </c>
      <c r="E65" s="104"/>
      <c r="F65" s="104"/>
      <c r="G65" s="82"/>
      <c r="H65" s="51"/>
      <c r="I65" s="81"/>
      <c r="J65" s="81"/>
      <c r="K65" s="81"/>
      <c r="L65" s="49"/>
      <c r="M65" s="50"/>
    </row>
    <row r="66" spans="1:13" ht="15.75" x14ac:dyDescent="0.25">
      <c r="A66" s="53"/>
      <c r="B66" s="217"/>
      <c r="C66" s="55" t="s">
        <v>88</v>
      </c>
      <c r="D66" s="56" t="s">
        <v>101</v>
      </c>
      <c r="E66" s="104"/>
      <c r="F66" s="104"/>
      <c r="G66" s="82"/>
      <c r="H66" s="51"/>
      <c r="I66" s="81"/>
      <c r="J66" s="81"/>
      <c r="K66" s="81"/>
      <c r="L66" s="49"/>
      <c r="M66" s="50"/>
    </row>
    <row r="67" spans="1:13" ht="15.75" x14ac:dyDescent="0.25">
      <c r="A67" s="53"/>
      <c r="B67" s="217"/>
      <c r="C67" s="55" t="s">
        <v>89</v>
      </c>
      <c r="D67" s="56" t="s">
        <v>98</v>
      </c>
      <c r="E67" s="104"/>
      <c r="F67" s="104"/>
      <c r="G67" s="82"/>
      <c r="H67" s="51"/>
      <c r="I67" s="81"/>
      <c r="J67" s="81"/>
      <c r="K67" s="81"/>
      <c r="L67" s="49"/>
      <c r="M67" s="50"/>
    </row>
    <row r="68" spans="1:13" ht="15.75" x14ac:dyDescent="0.25">
      <c r="A68" s="53"/>
      <c r="B68" s="217"/>
      <c r="C68" s="55" t="s">
        <v>90</v>
      </c>
      <c r="D68" s="56" t="s">
        <v>100</v>
      </c>
      <c r="E68" s="104"/>
      <c r="F68" s="104"/>
      <c r="G68" s="82"/>
      <c r="H68" s="51"/>
      <c r="I68" s="83"/>
      <c r="J68" s="83"/>
      <c r="K68" s="83"/>
      <c r="L68" s="49"/>
      <c r="M68" s="50"/>
    </row>
    <row r="69" spans="1:13" ht="15.75" x14ac:dyDescent="0.25">
      <c r="A69" s="53"/>
      <c r="B69" s="217"/>
      <c r="C69" s="55" t="s">
        <v>91</v>
      </c>
      <c r="D69" s="56" t="s">
        <v>98</v>
      </c>
      <c r="E69" s="104"/>
      <c r="F69" s="104"/>
      <c r="G69" s="82"/>
      <c r="H69" s="51"/>
      <c r="I69" s="83"/>
      <c r="J69" s="83"/>
      <c r="K69" s="83"/>
      <c r="L69" s="49"/>
      <c r="M69" s="50"/>
    </row>
    <row r="70" spans="1:13" ht="15.75" x14ac:dyDescent="0.25">
      <c r="A70" s="53"/>
      <c r="B70" s="217"/>
      <c r="C70" s="55" t="s">
        <v>92</v>
      </c>
      <c r="D70" s="56" t="s">
        <v>100</v>
      </c>
      <c r="E70" s="104"/>
      <c r="F70" s="104"/>
      <c r="G70" s="82"/>
      <c r="H70" s="51"/>
      <c r="I70" s="83"/>
      <c r="J70" s="83"/>
      <c r="K70" s="83"/>
      <c r="L70" s="49"/>
      <c r="M70" s="50"/>
    </row>
    <row r="71" spans="1:13" ht="15.75" x14ac:dyDescent="0.25">
      <c r="A71" s="53"/>
      <c r="B71" s="217"/>
      <c r="C71" s="55" t="s">
        <v>93</v>
      </c>
      <c r="D71" s="56" t="s">
        <v>102</v>
      </c>
      <c r="E71" s="104"/>
      <c r="F71" s="104"/>
      <c r="G71" s="82"/>
      <c r="H71" s="51"/>
      <c r="I71" s="83"/>
      <c r="J71" s="83"/>
      <c r="K71" s="83"/>
      <c r="L71" s="49"/>
      <c r="M71" s="50"/>
    </row>
    <row r="72" spans="1:13" ht="15.75" x14ac:dyDescent="0.25">
      <c r="A72" s="53"/>
      <c r="B72" s="217"/>
      <c r="C72" s="55" t="s">
        <v>94</v>
      </c>
      <c r="D72" s="56" t="s">
        <v>100</v>
      </c>
      <c r="E72" s="104"/>
      <c r="F72" s="104"/>
      <c r="G72" s="82"/>
      <c r="H72" s="51"/>
      <c r="I72" s="83"/>
      <c r="J72" s="83"/>
      <c r="K72" s="83"/>
      <c r="L72" s="49"/>
      <c r="M72" s="50"/>
    </row>
    <row r="73" spans="1:13" ht="15.75" thickBot="1" x14ac:dyDescent="0.3">
      <c r="A73" s="53"/>
      <c r="B73" s="218"/>
      <c r="C73" s="57"/>
      <c r="D73" s="58"/>
      <c r="E73" s="104"/>
      <c r="F73" s="104"/>
      <c r="G73" s="82"/>
      <c r="H73" s="51"/>
      <c r="I73" s="83"/>
      <c r="J73" s="83"/>
      <c r="K73" s="83"/>
      <c r="L73" s="49"/>
      <c r="M73" s="50"/>
    </row>
    <row r="74" spans="1:13" ht="15.75" thickBot="1" x14ac:dyDescent="0.3">
      <c r="A74" s="59"/>
      <c r="B74" s="84"/>
      <c r="C74" s="84"/>
      <c r="D74" s="84"/>
      <c r="E74" s="105"/>
      <c r="F74" s="105"/>
      <c r="G74" s="85"/>
      <c r="H74" s="84"/>
      <c r="I74" s="84"/>
      <c r="J74" s="84"/>
      <c r="K74" s="84"/>
      <c r="L74" s="86"/>
      <c r="M74" s="60"/>
    </row>
    <row r="75" spans="1:13" x14ac:dyDescent="0.25">
      <c r="A75" s="53"/>
      <c r="B75" s="219" t="s">
        <v>95</v>
      </c>
      <c r="C75" s="220"/>
      <c r="D75" s="220"/>
      <c r="E75" s="220"/>
      <c r="F75" s="221"/>
      <c r="G75" s="80" t="s">
        <v>81</v>
      </c>
      <c r="H75" s="80" t="s">
        <v>96</v>
      </c>
      <c r="I75" s="81"/>
      <c r="J75" s="81"/>
      <c r="K75" s="81"/>
      <c r="L75" s="49"/>
      <c r="M75" s="50"/>
    </row>
    <row r="76" spans="1:13" ht="15.75" thickBot="1" x14ac:dyDescent="0.3">
      <c r="A76" s="53"/>
      <c r="B76" s="222"/>
      <c r="C76" s="223"/>
      <c r="D76" s="223"/>
      <c r="E76" s="223"/>
      <c r="F76" s="224"/>
      <c r="G76" s="80" t="s">
        <v>110</v>
      </c>
      <c r="H76" s="51" t="s">
        <v>107</v>
      </c>
      <c r="I76" s="83"/>
      <c r="J76" s="83"/>
      <c r="K76" s="83"/>
      <c r="L76" s="49"/>
      <c r="M76" s="50"/>
    </row>
    <row r="77" spans="1:13" ht="4.5" customHeight="1" x14ac:dyDescent="0.25">
      <c r="A77" s="53"/>
      <c r="B77" s="83"/>
      <c r="C77" s="83"/>
      <c r="D77" s="83"/>
      <c r="E77" s="104"/>
      <c r="F77" s="104"/>
      <c r="G77" s="51" t="s">
        <v>111</v>
      </c>
      <c r="H77" s="51" t="s">
        <v>107</v>
      </c>
      <c r="I77" s="83"/>
      <c r="J77" s="83"/>
      <c r="K77" s="83"/>
      <c r="L77" s="49"/>
      <c r="M77" s="50"/>
    </row>
    <row r="78" spans="1:13" x14ac:dyDescent="0.25">
      <c r="A78" s="53"/>
      <c r="B78" s="83"/>
      <c r="C78" s="83"/>
      <c r="D78" s="83"/>
      <c r="E78" s="104"/>
      <c r="F78" s="104"/>
      <c r="G78" s="51" t="s">
        <v>112</v>
      </c>
      <c r="H78" s="51" t="s">
        <v>108</v>
      </c>
      <c r="I78" s="83"/>
      <c r="J78" s="83"/>
      <c r="K78" s="83"/>
      <c r="L78" s="49"/>
      <c r="M78" s="50"/>
    </row>
    <row r="79" spans="1:13" ht="71.25" customHeight="1" x14ac:dyDescent="0.25">
      <c r="A79" s="53"/>
      <c r="B79" s="83"/>
      <c r="C79" s="83"/>
      <c r="D79" s="83"/>
      <c r="E79" s="104"/>
      <c r="F79" s="104"/>
      <c r="G79" s="51" t="s">
        <v>113</v>
      </c>
      <c r="H79" s="51" t="s">
        <v>109</v>
      </c>
      <c r="I79" s="83"/>
      <c r="J79" s="83"/>
      <c r="K79" s="83"/>
      <c r="L79" s="49"/>
      <c r="M79" s="50"/>
    </row>
    <row r="80" spans="1:13" ht="15" customHeight="1" thickBot="1" x14ac:dyDescent="0.3">
      <c r="A80" s="87"/>
      <c r="B80" s="9"/>
      <c r="C80" s="10"/>
      <c r="D80" s="10"/>
      <c r="E80" s="106"/>
      <c r="F80" s="106"/>
      <c r="G80" s="10"/>
      <c r="H80" s="10"/>
      <c r="I80" s="10"/>
      <c r="J80" s="10"/>
      <c r="K80" s="10"/>
      <c r="L80" s="10"/>
      <c r="M80" s="88"/>
    </row>
    <row r="81" spans="1:13" ht="15" customHeight="1" thickBot="1" x14ac:dyDescent="0.35">
      <c r="A81" s="225" t="s">
        <v>9</v>
      </c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7"/>
    </row>
    <row r="82" spans="1:13" ht="15" customHeight="1" x14ac:dyDescent="0.25">
      <c r="A82" s="228" t="s">
        <v>10</v>
      </c>
      <c r="B82" s="229"/>
      <c r="C82" s="229"/>
      <c r="D82" s="229"/>
      <c r="E82" s="229"/>
      <c r="F82" s="229"/>
      <c r="G82" s="229" t="s">
        <v>21</v>
      </c>
      <c r="H82" s="229"/>
      <c r="I82" s="230" t="s">
        <v>31</v>
      </c>
      <c r="J82" s="229"/>
      <c r="K82" s="229"/>
      <c r="L82" s="229"/>
      <c r="M82" s="231"/>
    </row>
    <row r="83" spans="1:13" ht="15" customHeight="1" x14ac:dyDescent="0.25">
      <c r="A83" s="232" t="s">
        <v>15</v>
      </c>
      <c r="B83" s="233"/>
      <c r="C83" s="233"/>
      <c r="D83" s="233" t="s">
        <v>18</v>
      </c>
      <c r="E83" s="233"/>
      <c r="F83" s="233"/>
      <c r="G83" s="233" t="s">
        <v>22</v>
      </c>
      <c r="H83" s="233"/>
      <c r="I83" s="234" t="s">
        <v>32</v>
      </c>
      <c r="J83" s="233"/>
      <c r="K83" s="233"/>
      <c r="L83" s="233"/>
      <c r="M83" s="235"/>
    </row>
    <row r="84" spans="1:13" s="31" customFormat="1" x14ac:dyDescent="0.25">
      <c r="A84" s="232" t="s">
        <v>29</v>
      </c>
      <c r="B84" s="233"/>
      <c r="C84" s="233"/>
      <c r="D84" s="233" t="s">
        <v>35</v>
      </c>
      <c r="E84" s="233"/>
      <c r="F84" s="233"/>
      <c r="G84" s="233" t="s">
        <v>27</v>
      </c>
      <c r="H84" s="233"/>
      <c r="I84" s="233"/>
      <c r="J84" s="233"/>
      <c r="K84" s="233"/>
      <c r="L84" s="233"/>
      <c r="M84" s="235"/>
    </row>
    <row r="85" spans="1:13" s="31" customFormat="1" x14ac:dyDescent="0.25">
      <c r="A85" s="232" t="s">
        <v>16</v>
      </c>
      <c r="B85" s="233"/>
      <c r="C85" s="233"/>
      <c r="D85" s="233" t="s">
        <v>19</v>
      </c>
      <c r="E85" s="233"/>
      <c r="F85" s="233"/>
      <c r="G85" s="233" t="s">
        <v>24</v>
      </c>
      <c r="H85" s="233"/>
      <c r="I85" s="233"/>
      <c r="J85" s="233"/>
      <c r="K85" s="233"/>
      <c r="L85" s="233"/>
      <c r="M85" s="235"/>
    </row>
    <row r="86" spans="1:13" s="31" customFormat="1" x14ac:dyDescent="0.25">
      <c r="A86" s="232" t="s">
        <v>17</v>
      </c>
      <c r="B86" s="233"/>
      <c r="C86" s="233"/>
      <c r="D86" s="233" t="s">
        <v>20</v>
      </c>
      <c r="E86" s="233"/>
      <c r="F86" s="233"/>
      <c r="G86" s="233" t="s">
        <v>25</v>
      </c>
      <c r="H86" s="233"/>
      <c r="I86" s="233"/>
      <c r="J86" s="233"/>
      <c r="K86" s="233"/>
      <c r="L86" s="233"/>
      <c r="M86" s="235"/>
    </row>
    <row r="87" spans="1:13" s="31" customFormat="1" x14ac:dyDescent="0.25">
      <c r="A87" s="232" t="s">
        <v>36</v>
      </c>
      <c r="B87" s="233"/>
      <c r="C87" s="233"/>
      <c r="D87" s="233" t="s">
        <v>37</v>
      </c>
      <c r="E87" s="233"/>
      <c r="F87" s="233"/>
      <c r="G87" s="233" t="s">
        <v>23</v>
      </c>
      <c r="H87" s="233"/>
      <c r="I87" s="233"/>
      <c r="J87" s="233"/>
      <c r="K87" s="233"/>
      <c r="L87" s="233"/>
      <c r="M87" s="235"/>
    </row>
    <row r="88" spans="1:13" s="31" customFormat="1" ht="51.75" customHeight="1" x14ac:dyDescent="0.25">
      <c r="A88" s="232" t="s">
        <v>38</v>
      </c>
      <c r="B88" s="233"/>
      <c r="C88" s="233"/>
      <c r="D88" s="233" t="s">
        <v>39</v>
      </c>
      <c r="E88" s="233"/>
      <c r="F88" s="233"/>
      <c r="G88" s="233" t="s">
        <v>40</v>
      </c>
      <c r="H88" s="233"/>
      <c r="I88" s="234" t="s">
        <v>33</v>
      </c>
      <c r="J88" s="233"/>
      <c r="K88" s="233"/>
      <c r="L88" s="233"/>
      <c r="M88" s="235"/>
    </row>
    <row r="89" spans="1:13" s="31" customFormat="1" ht="15.75" thickBot="1" x14ac:dyDescent="0.3">
      <c r="A89" s="236" t="s">
        <v>11</v>
      </c>
      <c r="B89" s="237"/>
      <c r="C89" s="237"/>
      <c r="D89" s="237"/>
      <c r="E89" s="237"/>
      <c r="F89" s="237"/>
      <c r="G89" s="237" t="s">
        <v>26</v>
      </c>
      <c r="H89" s="237"/>
      <c r="I89" s="238" t="s">
        <v>34</v>
      </c>
      <c r="J89" s="237"/>
      <c r="K89" s="237"/>
      <c r="L89" s="237"/>
      <c r="M89" s="239"/>
    </row>
    <row r="90" spans="1:13" s="31" customFormat="1" x14ac:dyDescent="0.25">
      <c r="A90" s="1"/>
      <c r="B90" s="1"/>
      <c r="C90" s="1"/>
      <c r="D90" s="1"/>
      <c r="E90" s="107"/>
      <c r="F90" s="107"/>
      <c r="G90" s="1"/>
      <c r="H90" s="1"/>
      <c r="I90" s="1"/>
      <c r="J90" s="1"/>
      <c r="K90" s="1"/>
      <c r="L90" s="1"/>
      <c r="M90" s="1"/>
    </row>
    <row r="91" spans="1:13" s="31" customFormat="1" x14ac:dyDescent="0.25">
      <c r="A91" s="1"/>
      <c r="B91" s="1"/>
      <c r="C91" s="1"/>
      <c r="D91" s="1"/>
      <c r="E91" s="107"/>
      <c r="F91" s="107"/>
      <c r="G91" s="1"/>
      <c r="H91" s="1"/>
      <c r="I91" s="1"/>
      <c r="J91" s="1"/>
      <c r="K91" s="1"/>
      <c r="L91" s="1"/>
      <c r="M91" s="1"/>
    </row>
    <row r="92" spans="1:13" s="31" customFormat="1" x14ac:dyDescent="0.25">
      <c r="A92" s="1"/>
      <c r="B92" s="1"/>
      <c r="C92" s="1"/>
      <c r="D92" s="1"/>
      <c r="E92" s="107"/>
      <c r="F92" s="107"/>
      <c r="G92" s="1"/>
      <c r="H92" s="1"/>
      <c r="I92" s="1"/>
      <c r="J92" s="1"/>
      <c r="K92" s="1"/>
      <c r="L92" s="1"/>
      <c r="M92" s="1"/>
    </row>
    <row r="93" spans="1:13" s="31" customFormat="1" x14ac:dyDescent="0.25">
      <c r="A93" s="1"/>
      <c r="B93" s="1"/>
      <c r="C93" s="1"/>
      <c r="D93" s="1"/>
      <c r="E93" s="107"/>
      <c r="F93" s="107"/>
      <c r="G93" s="1"/>
      <c r="H93" s="1"/>
      <c r="I93" s="1"/>
      <c r="J93" s="1"/>
      <c r="K93" s="1"/>
      <c r="L93" s="1"/>
      <c r="M93" s="1"/>
    </row>
    <row r="94" spans="1:13" s="31" customFormat="1" x14ac:dyDescent="0.25">
      <c r="A94" s="1"/>
      <c r="B94" s="1"/>
      <c r="C94" s="1"/>
      <c r="D94" s="1"/>
      <c r="E94" s="107"/>
      <c r="F94" s="107"/>
      <c r="G94" s="1"/>
      <c r="H94" s="1"/>
      <c r="I94" s="1"/>
      <c r="J94" s="1"/>
      <c r="K94" s="1"/>
      <c r="L94" s="1"/>
      <c r="M94" s="1"/>
    </row>
    <row r="95" spans="1:13" s="31" customFormat="1" x14ac:dyDescent="0.25">
      <c r="A95" s="1"/>
      <c r="B95" s="1"/>
      <c r="C95" s="1"/>
      <c r="D95" s="1"/>
      <c r="E95" s="107"/>
      <c r="F95" s="107"/>
      <c r="G95" s="1"/>
      <c r="H95" s="1"/>
      <c r="I95" s="1"/>
      <c r="J95" s="1"/>
      <c r="K95" s="1"/>
      <c r="L95" s="1"/>
      <c r="M95" s="1"/>
    </row>
    <row r="96" spans="1:13" s="31" customFormat="1" x14ac:dyDescent="0.25">
      <c r="A96" s="1"/>
      <c r="B96" s="1"/>
      <c r="C96" s="1"/>
      <c r="D96" s="1"/>
      <c r="E96" s="107"/>
      <c r="F96" s="107"/>
      <c r="G96" s="1"/>
      <c r="H96" s="1"/>
      <c r="I96" s="1"/>
      <c r="J96" s="1"/>
      <c r="K96" s="1"/>
      <c r="L96" s="1"/>
      <c r="M96" s="1"/>
    </row>
    <row r="97" spans="1:13" s="31" customFormat="1" ht="18.600000000000001" customHeight="1" x14ac:dyDescent="0.25">
      <c r="A97" s="1"/>
      <c r="B97" s="1"/>
      <c r="C97" s="1"/>
      <c r="D97" s="1"/>
      <c r="E97" s="107"/>
      <c r="F97" s="107"/>
      <c r="G97" s="1"/>
      <c r="H97" s="1"/>
      <c r="I97" s="1"/>
      <c r="J97" s="1"/>
      <c r="K97" s="1"/>
      <c r="L97" s="1"/>
      <c r="M97" s="1"/>
    </row>
    <row r="98" spans="1:13" s="31" customFormat="1" x14ac:dyDescent="0.25">
      <c r="A98" s="1"/>
      <c r="B98" s="1"/>
      <c r="C98" s="1"/>
      <c r="D98" s="1"/>
      <c r="E98" s="107"/>
      <c r="F98" s="107"/>
      <c r="G98" s="1"/>
      <c r="H98" s="1"/>
      <c r="I98" s="1"/>
      <c r="J98" s="1"/>
      <c r="K98" s="1"/>
      <c r="L98" s="1"/>
      <c r="M98" s="1"/>
    </row>
    <row r="99" spans="1:13" s="31" customFormat="1" x14ac:dyDescent="0.25">
      <c r="A99" s="1"/>
      <c r="B99" s="1"/>
      <c r="C99" s="1"/>
      <c r="D99" s="1"/>
      <c r="E99" s="107"/>
      <c r="F99" s="107"/>
      <c r="G99" s="1"/>
      <c r="H99" s="1"/>
      <c r="I99" s="1"/>
      <c r="J99" s="1"/>
      <c r="K99" s="1"/>
      <c r="L99" s="1"/>
      <c r="M99" s="1"/>
    </row>
    <row r="100" spans="1:13" s="31" customFormat="1" x14ac:dyDescent="0.25">
      <c r="A100" s="1"/>
      <c r="B100" s="1"/>
      <c r="C100" s="1"/>
      <c r="D100" s="1"/>
      <c r="E100" s="107"/>
      <c r="F100" s="107"/>
      <c r="G100" s="1"/>
      <c r="H100" s="1"/>
      <c r="I100" s="1"/>
      <c r="J100" s="1"/>
      <c r="K100" s="1"/>
      <c r="L100" s="1"/>
      <c r="M100" s="1"/>
    </row>
    <row r="101" spans="1:13" s="31" customFormat="1" x14ac:dyDescent="0.25">
      <c r="A101" s="1"/>
      <c r="B101" s="1"/>
      <c r="C101" s="1"/>
      <c r="D101" s="1"/>
      <c r="E101" s="107"/>
      <c r="F101" s="107"/>
      <c r="G101" s="1"/>
      <c r="H101" s="1"/>
      <c r="I101" s="1"/>
      <c r="J101" s="1"/>
      <c r="K101" s="1"/>
      <c r="L101" s="1"/>
      <c r="M101" s="1"/>
    </row>
    <row r="102" spans="1:13" s="31" customFormat="1" x14ac:dyDescent="0.25">
      <c r="A102" s="1"/>
      <c r="B102" s="1"/>
      <c r="C102" s="1"/>
      <c r="D102" s="1"/>
      <c r="E102" s="107"/>
      <c r="F102" s="107"/>
      <c r="G102" s="1"/>
      <c r="H102" s="1"/>
      <c r="I102" s="1"/>
      <c r="J102" s="1"/>
      <c r="K102" s="1"/>
      <c r="L102" s="1"/>
      <c r="M102" s="1"/>
    </row>
    <row r="103" spans="1:13" s="31" customFormat="1" x14ac:dyDescent="0.25">
      <c r="A103" s="1"/>
      <c r="B103" s="1"/>
      <c r="C103" s="1"/>
      <c r="D103" s="1"/>
      <c r="E103" s="107"/>
      <c r="F103" s="107"/>
      <c r="G103" s="1"/>
      <c r="H103" s="1"/>
      <c r="I103" s="1"/>
      <c r="J103" s="1"/>
      <c r="K103" s="1"/>
      <c r="L103" s="1"/>
      <c r="M103" s="1"/>
    </row>
    <row r="104" spans="1:13" s="31" customFormat="1" x14ac:dyDescent="0.25">
      <c r="A104" s="1"/>
      <c r="B104" s="1"/>
      <c r="C104" s="1"/>
      <c r="D104" s="1"/>
      <c r="E104" s="107"/>
      <c r="F104" s="107"/>
      <c r="G104" s="1"/>
      <c r="H104" s="1"/>
      <c r="I104" s="1"/>
      <c r="J104" s="1"/>
      <c r="K104" s="1"/>
      <c r="L104" s="1"/>
      <c r="M104" s="1"/>
    </row>
    <row r="105" spans="1:13" s="31" customFormat="1" x14ac:dyDescent="0.25">
      <c r="A105" s="1"/>
      <c r="B105" s="1"/>
      <c r="C105" s="1"/>
      <c r="D105" s="1"/>
      <c r="E105" s="107"/>
      <c r="F105" s="107"/>
      <c r="G105" s="1"/>
      <c r="H105" s="1"/>
      <c r="I105" s="1"/>
      <c r="J105" s="1"/>
      <c r="K105" s="1"/>
      <c r="L105" s="1"/>
      <c r="M105" s="1"/>
    </row>
    <row r="106" spans="1:13" s="31" customFormat="1" ht="27.75" customHeight="1" x14ac:dyDescent="0.25">
      <c r="A106" s="1"/>
      <c r="B106" s="1"/>
      <c r="C106" s="1"/>
      <c r="D106" s="1"/>
      <c r="E106" s="107"/>
      <c r="F106" s="107"/>
      <c r="G106" s="1"/>
      <c r="H106" s="1"/>
      <c r="I106" s="1"/>
      <c r="J106" s="1"/>
      <c r="K106" s="1"/>
      <c r="L106" s="1"/>
      <c r="M106" s="1"/>
    </row>
    <row r="107" spans="1:13" s="31" customFormat="1" ht="4.5" customHeight="1" x14ac:dyDescent="0.25">
      <c r="A107" s="1"/>
      <c r="B107" s="1"/>
      <c r="C107" s="1"/>
      <c r="D107" s="1"/>
      <c r="E107" s="107"/>
      <c r="F107" s="107"/>
      <c r="G107" s="1"/>
      <c r="H107" s="1"/>
      <c r="I107" s="1"/>
      <c r="J107" s="1"/>
      <c r="K107" s="1"/>
      <c r="L107" s="1"/>
      <c r="M107" s="1"/>
    </row>
    <row r="108" spans="1:13" s="47" customFormat="1" ht="15" customHeight="1" x14ac:dyDescent="0.25">
      <c r="A108" s="1"/>
      <c r="B108" s="1"/>
      <c r="C108" s="1"/>
      <c r="D108" s="1"/>
      <c r="E108" s="107"/>
      <c r="F108" s="107"/>
      <c r="G108" s="1"/>
      <c r="H108" s="1"/>
      <c r="I108" s="1"/>
      <c r="J108" s="1"/>
      <c r="K108" s="1"/>
      <c r="L108" s="1"/>
      <c r="M108" s="1"/>
    </row>
    <row r="109" spans="1:13" s="31" customFormat="1" x14ac:dyDescent="0.25">
      <c r="A109" s="1"/>
      <c r="B109" s="1"/>
      <c r="C109" s="1"/>
      <c r="D109" s="1"/>
      <c r="E109" s="107"/>
      <c r="F109" s="107"/>
      <c r="G109" s="1"/>
      <c r="H109" s="1"/>
      <c r="I109" s="1"/>
      <c r="J109" s="1"/>
      <c r="K109" s="1"/>
      <c r="L109" s="1"/>
      <c r="M109" s="1"/>
    </row>
    <row r="110" spans="1:13" s="31" customFormat="1" x14ac:dyDescent="0.25">
      <c r="A110" s="1"/>
      <c r="B110" s="1"/>
      <c r="C110" s="1"/>
      <c r="D110" s="1"/>
      <c r="E110" s="107"/>
      <c r="F110" s="107"/>
      <c r="G110" s="1"/>
      <c r="H110" s="1"/>
      <c r="I110" s="1"/>
      <c r="J110" s="1"/>
      <c r="K110" s="1"/>
      <c r="L110" s="1"/>
      <c r="M110" s="1"/>
    </row>
    <row r="111" spans="1:13" s="31" customFormat="1" x14ac:dyDescent="0.25">
      <c r="A111" s="1"/>
      <c r="B111" s="1"/>
      <c r="C111" s="1"/>
      <c r="D111" s="1"/>
      <c r="E111" s="107"/>
      <c r="F111" s="107"/>
      <c r="G111" s="1"/>
      <c r="H111" s="1"/>
      <c r="I111" s="1"/>
      <c r="J111" s="1"/>
      <c r="K111" s="1"/>
      <c r="L111" s="1"/>
      <c r="M111" s="1"/>
    </row>
    <row r="112" spans="1:13" s="31" customFormat="1" ht="4.5" customHeight="1" x14ac:dyDescent="0.25">
      <c r="A112" s="1"/>
      <c r="B112" s="1"/>
      <c r="C112" s="1"/>
      <c r="D112" s="1"/>
      <c r="E112" s="107"/>
      <c r="F112" s="107"/>
      <c r="G112" s="1"/>
      <c r="H112" s="1"/>
      <c r="I112" s="1"/>
      <c r="J112" s="1"/>
      <c r="K112" s="1"/>
      <c r="L112" s="1"/>
      <c r="M112" s="1"/>
    </row>
    <row r="113" spans="1:13" s="31" customFormat="1" ht="15" customHeight="1" x14ac:dyDescent="0.25">
      <c r="A113" s="1"/>
      <c r="B113" s="1"/>
      <c r="C113" s="1"/>
      <c r="D113" s="1"/>
      <c r="E113" s="107"/>
      <c r="F113" s="107"/>
      <c r="G113" s="1"/>
      <c r="H113" s="1"/>
      <c r="I113" s="1"/>
      <c r="J113" s="1"/>
      <c r="K113" s="1"/>
      <c r="L113" s="1"/>
      <c r="M113" s="1"/>
    </row>
    <row r="114" spans="1:13" s="31" customFormat="1" ht="15.75" customHeight="1" x14ac:dyDescent="0.25">
      <c r="A114" s="1"/>
      <c r="B114" s="1"/>
      <c r="C114" s="1"/>
      <c r="D114" s="1"/>
      <c r="E114" s="107"/>
      <c r="F114" s="107"/>
      <c r="G114" s="1"/>
      <c r="H114" s="1"/>
      <c r="I114" s="1"/>
      <c r="J114" s="1"/>
      <c r="K114" s="1"/>
      <c r="L114" s="1"/>
      <c r="M114" s="1"/>
    </row>
    <row r="115" spans="1:13" s="31" customFormat="1" x14ac:dyDescent="0.25">
      <c r="A115" s="1"/>
      <c r="B115" s="1"/>
      <c r="C115" s="1"/>
      <c r="D115" s="1"/>
      <c r="E115" s="107"/>
      <c r="F115" s="107"/>
      <c r="G115" s="1"/>
      <c r="H115" s="1"/>
      <c r="I115" s="1"/>
      <c r="J115" s="1"/>
      <c r="K115" s="1"/>
      <c r="L115" s="1"/>
      <c r="M115" s="1"/>
    </row>
    <row r="116" spans="1:13" s="31" customFormat="1" x14ac:dyDescent="0.25">
      <c r="A116" s="1"/>
      <c r="B116" s="1"/>
      <c r="C116" s="1"/>
      <c r="D116" s="1"/>
      <c r="E116" s="107"/>
      <c r="F116" s="107"/>
      <c r="G116" s="1"/>
      <c r="H116" s="1"/>
      <c r="I116" s="1"/>
      <c r="J116" s="1"/>
      <c r="K116" s="1"/>
      <c r="L116" s="1"/>
      <c r="M116" s="1"/>
    </row>
    <row r="117" spans="1:13" s="31" customFormat="1" x14ac:dyDescent="0.25">
      <c r="A117" s="1"/>
      <c r="B117" s="1"/>
      <c r="C117" s="1"/>
      <c r="D117" s="1"/>
      <c r="E117" s="107"/>
      <c r="F117" s="107"/>
      <c r="G117" s="1"/>
      <c r="H117" s="1"/>
      <c r="I117" s="1"/>
      <c r="J117" s="1"/>
      <c r="K117" s="1"/>
      <c r="L117" s="1"/>
      <c r="M117" s="1"/>
    </row>
    <row r="118" spans="1:13" s="31" customFormat="1" x14ac:dyDescent="0.25">
      <c r="A118" s="1"/>
      <c r="B118" s="1"/>
      <c r="C118" s="1"/>
      <c r="D118" s="1"/>
      <c r="E118" s="107"/>
      <c r="F118" s="107"/>
      <c r="G118" s="1"/>
      <c r="H118" s="1"/>
      <c r="I118" s="1"/>
      <c r="J118" s="1"/>
      <c r="K118" s="1"/>
      <c r="L118" s="1"/>
      <c r="M118" s="1"/>
    </row>
    <row r="119" spans="1:13" s="31" customFormat="1" x14ac:dyDescent="0.25">
      <c r="A119" s="1"/>
      <c r="B119" s="1"/>
      <c r="C119" s="1"/>
      <c r="D119" s="1"/>
      <c r="E119" s="107"/>
      <c r="F119" s="107"/>
      <c r="G119" s="1"/>
      <c r="H119" s="1"/>
      <c r="I119" s="1"/>
      <c r="J119" s="1"/>
      <c r="K119" s="1"/>
      <c r="L119" s="1"/>
      <c r="M119" s="1"/>
    </row>
    <row r="120" spans="1:13" s="31" customFormat="1" x14ac:dyDescent="0.25">
      <c r="A120" s="1"/>
      <c r="B120" s="1"/>
      <c r="C120" s="1"/>
      <c r="D120" s="1"/>
      <c r="E120" s="107"/>
      <c r="F120" s="107"/>
      <c r="G120" s="1"/>
      <c r="H120" s="1"/>
      <c r="I120" s="1"/>
      <c r="J120" s="1"/>
      <c r="K120" s="1"/>
      <c r="L120" s="1"/>
      <c r="M120" s="1"/>
    </row>
    <row r="121" spans="1:13" s="31" customFormat="1" x14ac:dyDescent="0.25">
      <c r="A121" s="1"/>
      <c r="B121" s="1"/>
      <c r="C121" s="1"/>
      <c r="D121" s="1"/>
      <c r="E121" s="107"/>
      <c r="F121" s="107"/>
      <c r="G121" s="1"/>
      <c r="H121" s="1"/>
      <c r="I121" s="1"/>
      <c r="J121" s="1"/>
      <c r="K121" s="1"/>
      <c r="L121" s="1"/>
      <c r="M121" s="1"/>
    </row>
    <row r="122" spans="1:13" s="31" customFormat="1" x14ac:dyDescent="0.25">
      <c r="A122" s="1"/>
      <c r="B122" s="1"/>
      <c r="C122" s="1"/>
      <c r="D122" s="1"/>
      <c r="E122" s="107"/>
      <c r="F122" s="107"/>
      <c r="G122" s="1"/>
      <c r="H122" s="1"/>
      <c r="I122" s="1"/>
      <c r="J122" s="1"/>
      <c r="K122" s="1"/>
      <c r="L122" s="1"/>
      <c r="M122" s="1"/>
    </row>
    <row r="123" spans="1:13" s="31" customFormat="1" x14ac:dyDescent="0.25">
      <c r="A123" s="1"/>
      <c r="B123" s="1"/>
      <c r="C123" s="1"/>
      <c r="D123" s="1"/>
      <c r="E123" s="107"/>
      <c r="F123" s="107"/>
      <c r="G123" s="1"/>
      <c r="H123" s="1"/>
      <c r="I123" s="1"/>
      <c r="J123" s="1"/>
      <c r="K123" s="1"/>
      <c r="L123" s="1"/>
      <c r="M123" s="1"/>
    </row>
    <row r="124" spans="1:13" s="31" customFormat="1" x14ac:dyDescent="0.25">
      <c r="A124" s="1"/>
      <c r="B124" s="1"/>
      <c r="C124" s="1"/>
      <c r="D124" s="1"/>
      <c r="E124" s="107"/>
      <c r="F124" s="107"/>
      <c r="G124" s="1"/>
      <c r="H124" s="1"/>
      <c r="I124" s="1"/>
      <c r="J124" s="1"/>
      <c r="K124" s="1"/>
      <c r="L124" s="1"/>
      <c r="M124" s="1"/>
    </row>
    <row r="125" spans="1:13" s="31" customFormat="1" x14ac:dyDescent="0.25">
      <c r="A125" s="1"/>
      <c r="B125" s="1"/>
      <c r="C125" s="1"/>
      <c r="D125" s="1"/>
      <c r="E125" s="107"/>
      <c r="F125" s="107"/>
      <c r="G125" s="1"/>
      <c r="H125" s="1"/>
      <c r="I125" s="1"/>
      <c r="J125" s="1"/>
      <c r="K125" s="1"/>
      <c r="L125" s="1"/>
      <c r="M125" s="1"/>
    </row>
    <row r="126" spans="1:13" s="31" customFormat="1" ht="15.75" customHeight="1" x14ac:dyDescent="0.25">
      <c r="A126" s="1"/>
      <c r="B126" s="1"/>
      <c r="C126" s="1"/>
      <c r="D126" s="1"/>
      <c r="E126" s="107"/>
      <c r="F126" s="107"/>
      <c r="G126" s="1"/>
      <c r="H126" s="1"/>
      <c r="I126" s="1"/>
      <c r="J126" s="1"/>
      <c r="K126" s="1"/>
      <c r="L126" s="1"/>
      <c r="M126" s="1"/>
    </row>
    <row r="127" spans="1:13" s="31" customFormat="1" ht="15.75" customHeight="1" x14ac:dyDescent="0.25">
      <c r="A127" s="1"/>
      <c r="B127" s="1"/>
      <c r="C127" s="1"/>
      <c r="D127" s="1"/>
      <c r="E127" s="107"/>
      <c r="F127" s="107"/>
      <c r="G127" s="1"/>
      <c r="H127" s="1"/>
      <c r="I127" s="1"/>
      <c r="J127" s="1"/>
      <c r="K127" s="1"/>
      <c r="L127" s="1"/>
      <c r="M127" s="1"/>
    </row>
    <row r="128" spans="1:13" s="31" customFormat="1" ht="4.5" customHeight="1" x14ac:dyDescent="0.25">
      <c r="A128" s="1"/>
      <c r="B128" s="1"/>
      <c r="C128" s="1"/>
      <c r="D128" s="1"/>
      <c r="E128" s="107"/>
      <c r="F128" s="107"/>
      <c r="G128" s="1"/>
      <c r="H128" s="1"/>
      <c r="I128" s="1"/>
      <c r="J128" s="1"/>
      <c r="K128" s="1"/>
      <c r="L128" s="1"/>
      <c r="M128" s="1"/>
    </row>
    <row r="129" spans="1:13" s="31" customFormat="1" ht="15" customHeight="1" x14ac:dyDescent="0.25">
      <c r="A129" s="1"/>
      <c r="B129" s="1"/>
      <c r="C129" s="1"/>
      <c r="D129" s="1"/>
      <c r="E129" s="107"/>
      <c r="F129" s="107"/>
      <c r="G129" s="1"/>
      <c r="H129" s="1"/>
      <c r="I129" s="1"/>
      <c r="J129" s="1"/>
      <c r="K129" s="1"/>
      <c r="L129" s="1"/>
      <c r="M129" s="1"/>
    </row>
    <row r="130" spans="1:13" s="31" customFormat="1" ht="15.75" customHeight="1" x14ac:dyDescent="0.25">
      <c r="A130" s="1"/>
      <c r="B130" s="1"/>
      <c r="C130" s="1"/>
      <c r="D130" s="1"/>
      <c r="E130" s="107"/>
      <c r="F130" s="107"/>
      <c r="G130" s="1"/>
      <c r="H130" s="1"/>
      <c r="I130" s="1"/>
      <c r="J130" s="1"/>
      <c r="K130" s="1"/>
      <c r="L130" s="1"/>
      <c r="M130" s="1"/>
    </row>
    <row r="131" spans="1:13" s="31" customFormat="1" x14ac:dyDescent="0.25">
      <c r="A131" s="1"/>
      <c r="B131" s="1"/>
      <c r="C131" s="1"/>
      <c r="D131" s="1"/>
      <c r="E131" s="107"/>
      <c r="F131" s="107"/>
      <c r="G131" s="1"/>
      <c r="H131" s="1"/>
      <c r="I131" s="1"/>
      <c r="J131" s="1"/>
      <c r="K131" s="1"/>
      <c r="L131" s="1"/>
      <c r="M131" s="1"/>
    </row>
    <row r="132" spans="1:13" s="31" customFormat="1" x14ac:dyDescent="0.25">
      <c r="A132" s="1"/>
      <c r="B132" s="1"/>
      <c r="C132" s="1"/>
      <c r="D132" s="1"/>
      <c r="E132" s="107"/>
      <c r="F132" s="107"/>
      <c r="G132" s="1"/>
      <c r="H132" s="1"/>
      <c r="I132" s="1"/>
      <c r="J132" s="1"/>
      <c r="K132" s="1"/>
      <c r="L132" s="1"/>
      <c r="M132" s="1"/>
    </row>
    <row r="133" spans="1:13" s="31" customFormat="1" x14ac:dyDescent="0.25">
      <c r="A133" s="1"/>
      <c r="B133" s="1"/>
      <c r="C133" s="1"/>
      <c r="D133" s="1"/>
      <c r="E133" s="107"/>
      <c r="F133" s="107"/>
      <c r="G133" s="1"/>
      <c r="H133" s="1"/>
      <c r="I133" s="1"/>
      <c r="J133" s="1"/>
      <c r="K133" s="1"/>
      <c r="L133" s="1"/>
      <c r="M133" s="1"/>
    </row>
    <row r="134" spans="1:13" ht="4.5" customHeight="1" x14ac:dyDescent="0.25"/>
  </sheetData>
  <mergeCells count="96">
    <mergeCell ref="A89:C89"/>
    <mergeCell ref="D89:F89"/>
    <mergeCell ref="G89:H89"/>
    <mergeCell ref="I89:M89"/>
    <mergeCell ref="A85:C85"/>
    <mergeCell ref="D85:F85"/>
    <mergeCell ref="G85:H85"/>
    <mergeCell ref="I85:M85"/>
    <mergeCell ref="A86:C86"/>
    <mergeCell ref="D86:F86"/>
    <mergeCell ref="G86:H86"/>
    <mergeCell ref="I86:M86"/>
    <mergeCell ref="A87:C87"/>
    <mergeCell ref="D87:F87"/>
    <mergeCell ref="G87:H87"/>
    <mergeCell ref="I87:M87"/>
    <mergeCell ref="A88:C88"/>
    <mergeCell ref="D88:F88"/>
    <mergeCell ref="G88:H88"/>
    <mergeCell ref="I88:M88"/>
    <mergeCell ref="G83:H83"/>
    <mergeCell ref="I83:M83"/>
    <mergeCell ref="A84:C84"/>
    <mergeCell ref="D84:F84"/>
    <mergeCell ref="G84:H84"/>
    <mergeCell ref="I84:M84"/>
    <mergeCell ref="A83:C83"/>
    <mergeCell ref="D83:F83"/>
    <mergeCell ref="B59:B73"/>
    <mergeCell ref="B75:F76"/>
    <mergeCell ref="A81:M81"/>
    <mergeCell ref="A82:C82"/>
    <mergeCell ref="D82:F82"/>
    <mergeCell ref="G82:H82"/>
    <mergeCell ref="I82:M82"/>
    <mergeCell ref="A56:K56"/>
    <mergeCell ref="A57:K57"/>
    <mergeCell ref="B51:M51"/>
    <mergeCell ref="B52:M52"/>
    <mergeCell ref="A54:M54"/>
    <mergeCell ref="A44:M44"/>
    <mergeCell ref="B45:K45"/>
    <mergeCell ref="B48:G48"/>
    <mergeCell ref="B49:M49"/>
    <mergeCell ref="B50:M50"/>
    <mergeCell ref="A35:G36"/>
    <mergeCell ref="H35:M35"/>
    <mergeCell ref="H36:M36"/>
    <mergeCell ref="A33:M33"/>
    <mergeCell ref="A37:A40"/>
    <mergeCell ref="B37:K37"/>
    <mergeCell ref="B38:K38"/>
    <mergeCell ref="B39:K39"/>
    <mergeCell ref="B40:K40"/>
    <mergeCell ref="A31:M31"/>
    <mergeCell ref="A32:M32"/>
    <mergeCell ref="A30:M30"/>
    <mergeCell ref="D22:F22"/>
    <mergeCell ref="A24:M24"/>
    <mergeCell ref="A25:M25"/>
    <mergeCell ref="A26:M27"/>
    <mergeCell ref="A28:M29"/>
    <mergeCell ref="A41:A42"/>
    <mergeCell ref="B41:K41"/>
    <mergeCell ref="B42:K42"/>
    <mergeCell ref="M7:M8"/>
    <mergeCell ref="A34:M34"/>
    <mergeCell ref="A7:A8"/>
    <mergeCell ref="G7:G8"/>
    <mergeCell ref="I7:J7"/>
    <mergeCell ref="K7:L7"/>
    <mergeCell ref="M16:M17"/>
    <mergeCell ref="K16:L16"/>
    <mergeCell ref="I16:J16"/>
    <mergeCell ref="B7:C7"/>
    <mergeCell ref="D16:D17"/>
    <mergeCell ref="B16:C16"/>
    <mergeCell ref="A16:A17"/>
    <mergeCell ref="A4:B4"/>
    <mergeCell ref="A5:B5"/>
    <mergeCell ref="E4:F4"/>
    <mergeCell ref="J1:M1"/>
    <mergeCell ref="D6:K6"/>
    <mergeCell ref="A2:B2"/>
    <mergeCell ref="I2:M2"/>
    <mergeCell ref="E1:H1"/>
    <mergeCell ref="E3:F3"/>
    <mergeCell ref="A3:B3"/>
    <mergeCell ref="D7:D8"/>
    <mergeCell ref="D15:K15"/>
    <mergeCell ref="E16:F16"/>
    <mergeCell ref="E7:F7"/>
    <mergeCell ref="H7:H8"/>
    <mergeCell ref="D13:K13"/>
    <mergeCell ref="H16:H17"/>
    <mergeCell ref="G16:G17"/>
  </mergeCells>
  <conditionalFormatting sqref="B9:M14">
    <cfRule type="expression" dxfId="4" priority="2">
      <formula>AND($K9&gt;0,$K9=$L9,$G9="TOQUE PITO")</formula>
    </cfRule>
    <cfRule type="expression" dxfId="3" priority="3">
      <formula>SEARCH("Cruce",$D9)</formula>
    </cfRule>
    <cfRule type="expression" dxfId="2" priority="4">
      <formula>AND($K9&gt;0,$K9=$L9)</formula>
    </cfRule>
  </conditionalFormatting>
  <conditionalFormatting sqref="H1:H1048576">
    <cfRule type="containsText" dxfId="1" priority="5" operator="containsText" text="VENTANA DE TRABAJO SEGÚN DISPONIBILIDAD DE TRÁFICO">
      <formula>NOT(ISERROR(SEARCH("VENTANA DE TRABAJO SEGÚN DISPONIBILIDAD DE TRÁFICO",H1)))</formula>
    </cfRule>
  </conditionalFormatting>
  <conditionalFormatting sqref="H9:H14">
    <cfRule type="expression" dxfId="0" priority="1">
      <formula>AND($K9&gt;0,$K9=$L9,$G9="TOQUE PITO")</formula>
    </cfRule>
  </conditionalFormatting>
  <hyperlinks>
    <hyperlink ref="I88" r:id="rId1"/>
    <hyperlink ref="I82" r:id="rId2"/>
    <hyperlink ref="I83" r:id="rId3"/>
    <hyperlink ref="I89" r:id="rId4"/>
  </hyperlinks>
  <pageMargins left="0.31496062992125984" right="0.31496062992125984" top="0.35433070866141736" bottom="0.35433070866141736" header="0.31496062992125984" footer="0.31496062992125984"/>
  <pageSetup paperSize="281" scale="65" fitToHeight="0" orientation="landscape" r:id="rId5"/>
  <headerFooter>
    <oddFooter>&amp;R&amp;P</oddFooter>
  </headerFooter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776A87-F45A-4713-8EEC-72584CD4DB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f45291bc-c7a1-4ef0-8ab4-c48bff5dc735"/>
    <ds:schemaRef ds:uri="313609a6-81c6-46ac-ab9d-5ac73f4e1c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2026-06-04T16:05:40Z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